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Mohlala.VANDOM\Downloads\DA\Bright TV Case Study\"/>
    </mc:Choice>
  </mc:AlternateContent>
  <xr:revisionPtr revIDLastSave="0" documentId="13_ncr:1_{E9B72036-9BEA-4829-AE14-2E864424B6C9}" xr6:coauthVersionLast="47" xr6:coauthVersionMax="47" xr10:uidLastSave="{00000000-0000-0000-0000-000000000000}"/>
  <bookViews>
    <workbookView xWindow="-105" yWindow="0" windowWidth="14610" windowHeight="15585" firstSheet="3" activeTab="4" xr2:uid="{17B7C4A0-A22E-4F0F-ABA7-7AA720827427}"/>
  </bookViews>
  <sheets>
    <sheet name="MW" sheetId="4" r:id="rId1"/>
    <sheet name="VP" sheetId="6" r:id="rId2"/>
    <sheet name="GD" sheetId="7" r:id="rId3"/>
    <sheet name="VG" sheetId="8" r:id="rId4"/>
    <sheet name="AG" sheetId="11" r:id="rId5"/>
    <sheet name="TB" sheetId="12" r:id="rId6"/>
    <sheet name="TA" sheetId="13" r:id="rId7"/>
    <sheet name="MVCG" sheetId="19" r:id="rId8"/>
    <sheet name="TMEU" sheetId="20" r:id="rId9"/>
    <sheet name="BrightTV_JoinedTablesnw_2026_04" sheetId="2" r:id="rId10"/>
  </sheets>
  <definedNames>
    <definedName name="_xlnm._FilterDatabase" localSheetId="0" hidden="1">MW!$E$1:$F$20</definedName>
    <definedName name="_xlchart.v1.7" hidden="1">TB!$G$6:$H$17</definedName>
    <definedName name="_xlchart.v1.8" hidden="1">TB!$I$5</definedName>
    <definedName name="_xlchart.v1.9" hidden="1">TB!$I$6:$I$17</definedName>
    <definedName name="_xlchart.v2.0" hidden="1">MW!$E$2:$E$19</definedName>
    <definedName name="_xlchart.v2.1" hidden="1">MW!$F$1</definedName>
    <definedName name="_xlchart.v2.10" hidden="1">TA!$B$2:$B$5</definedName>
    <definedName name="_xlchart.v2.11" hidden="1">TA!$C$1</definedName>
    <definedName name="_xlchart.v2.12" hidden="1">TA!$C$2:$C$5</definedName>
    <definedName name="_xlchart.v2.13" hidden="1">TMEU!$E$4:$E$13</definedName>
    <definedName name="_xlchart.v2.14" hidden="1">TMEU!$F$3</definedName>
    <definedName name="_xlchart.v2.15" hidden="1">TMEU!$F$4:$F$13</definedName>
    <definedName name="_xlchart.v2.2" hidden="1">MW!$F$2:$F$19</definedName>
    <definedName name="_xlchart.v5.3" hidden="1">VP!$A$16</definedName>
    <definedName name="_xlchart.v5.4" hidden="1">VP!$A$17:$A$27</definedName>
    <definedName name="_xlchart.v5.5" hidden="1">VP!$B$16</definedName>
    <definedName name="_xlchart.v5.6" hidden="1">VP!$B$17:$B$27</definedName>
    <definedName name="ExternalData_1" localSheetId="9" hidden="1">BrightTV_JoinedTablesnw_2026_04!$A$1:$R$1001</definedName>
  </definedNames>
  <calcPr calcId="191029"/>
  <pivotCaches>
    <pivotCache cacheId="0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3" l="1"/>
  <c r="C4" i="13"/>
  <c r="C3" i="13"/>
  <c r="C2" i="1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A0E09F-81FE-4EE2-A37D-F00FE493C0B1}" keepAlive="1" name="Query - BrightTV_JoinedTablesnw_2026_04_16_23_55_09" description="Connection to the 'BrightTV_JoinedTablesnw_2026_04_16_23_55_09' query in the workbook." type="5" refreshedVersion="8" background="1" saveData="1">
    <dbPr connection="Provider=Microsoft.Mashup.OleDb.1;Data Source=$Workbook$;Location=BrightTV_JoinedTablesnw_2026_04_16_23_55_09;Extended Properties=&quot;&quot;" command="SELECT * FROM [BrightTV_JoinedTablesnw_2026_04_16_23_55_09]"/>
  </connection>
</connections>
</file>

<file path=xl/sharedStrings.xml><?xml version="1.0" encoding="utf-8"?>
<sst xmlns="http://schemas.openxmlformats.org/spreadsheetml/2006/main" count="10421" uniqueCount="1113">
  <si>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</si>
  <si>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</si>
  <si>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</si>
  <si>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</si>
  <si>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</si>
  <si>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</si>
  <si>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</si>
  <si>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</si>
  <si>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</si>
  <si>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Viewership.UserID</t>
  </si>
  <si>
    <t>Viewership.Channel2</t>
  </si>
  <si>
    <t>Viewership.RecordDate2</t>
  </si>
  <si>
    <t>Viewership time</t>
  </si>
  <si>
    <t>Viewership.Duration 2</t>
  </si>
  <si>
    <t>Viewership.userid2</t>
  </si>
  <si>
    <t>Column1</t>
  </si>
  <si>
    <t>None</t>
  </si>
  <si>
    <t>Shelley 34@abcmail.com</t>
  </si>
  <si>
    <t>ICC Cricket World Cup 2011</t>
  </si>
  <si>
    <t>0.007013889</t>
  </si>
  <si>
    <t>null</t>
  </si>
  <si>
    <t>Shelley </t>
  </si>
  <si>
    <t>Reisinger</t>
  </si>
  <si>
    <t>Shelley 234@abcmail.com</t>
  </si>
  <si>
    <t>female</t>
  </si>
  <si>
    <t>white</t>
  </si>
  <si>
    <t>Eastern Cape</t>
  </si>
  <si>
    <t>@Shelley 23</t>
  </si>
  <si>
    <t>SawSee</t>
  </si>
  <si>
    <t>0.001076389</t>
  </si>
  <si>
    <t>Boomerang</t>
  </si>
  <si>
    <t>0.000115741</t>
  </si>
  <si>
    <t>Channel O</t>
  </si>
  <si>
    <t>0.011979167</t>
  </si>
  <si>
    <t>0.000844907</t>
  </si>
  <si>
    <t>Garry </t>
  </si>
  <si>
    <t>Sytsma</t>
  </si>
  <si>
    <t>Garry 284@abcmail.com</t>
  </si>
  <si>
    <t>male</t>
  </si>
  <si>
    <t>black</t>
  </si>
  <si>
    <t>Gauteng</t>
  </si>
  <si>
    <t>@Garry 28</t>
  </si>
  <si>
    <t>0.0078125</t>
  </si>
  <si>
    <t>Yong </t>
  </si>
  <si>
    <t>Paradis</t>
  </si>
  <si>
    <t>Yong 484@abcmail.com</t>
  </si>
  <si>
    <t>@Yong 48</t>
  </si>
  <si>
    <t>Supersport Live Events</t>
  </si>
  <si>
    <t>0.002916667</t>
  </si>
  <si>
    <t>Cory </t>
  </si>
  <si>
    <t>Mcclaine</t>
  </si>
  <si>
    <t>Cory 105@mailxyz.com</t>
  </si>
  <si>
    <t>Kwazulu Natal</t>
  </si>
  <si>
    <t>@Cory 10</t>
  </si>
  <si>
    <t>SuperSport Blitz</t>
  </si>
  <si>
    <t>0.000856481</t>
  </si>
  <si>
    <t>0.000578704</t>
  </si>
  <si>
    <t>Donald </t>
  </si>
  <si>
    <t>Zweifel</t>
  </si>
  <si>
    <t>Donald 224@abcmail.com</t>
  </si>
  <si>
    <t>Western Cape</t>
  </si>
  <si>
    <t>@Donald 22</t>
  </si>
  <si>
    <t>E! Entertainment</t>
  </si>
  <si>
    <t>0.001180556</t>
  </si>
  <si>
    <t>0</t>
  </si>
  <si>
    <t>Carter </t>
  </si>
  <si>
    <t>Tatham</t>
  </si>
  <si>
    <t>Carter 34@abcmail.com</t>
  </si>
  <si>
    <t>@Carter 3</t>
  </si>
  <si>
    <t>Break in transmission</t>
  </si>
  <si>
    <t>0.000300926</t>
  </si>
  <si>
    <t>0.000277778</t>
  </si>
  <si>
    <t>Filiberto </t>
  </si>
  <si>
    <t>Pilot</t>
  </si>
  <si>
    <t>Filiberto 44@abcmail.com</t>
  </si>
  <si>
    <t>Mpumalanga</t>
  </si>
  <si>
    <t>@Filiberto 4</t>
  </si>
  <si>
    <t>Trace TV</t>
  </si>
  <si>
    <t>0.0128125</t>
  </si>
  <si>
    <t>0.000555556</t>
  </si>
  <si>
    <t>Stacy </t>
  </si>
  <si>
    <t>Mcculloch</t>
  </si>
  <si>
    <t>Stacy 271@yahoo.com</t>
  </si>
  <si>
    <t>@Stacy 27</t>
  </si>
  <si>
    <t>Cartoon Network</t>
  </si>
  <si>
    <t>0.0015625</t>
  </si>
  <si>
    <t>Art </t>
  </si>
  <si>
    <t>Nicholls</t>
  </si>
  <si>
    <t>Art 405@mailxyz.com</t>
  </si>
  <si>
    <t>other</t>
  </si>
  <si>
    <t>@Art 40</t>
  </si>
  <si>
    <t>0.000833333</t>
  </si>
  <si>
    <t>0.009270833</t>
  </si>
  <si>
    <t>Bret </t>
  </si>
  <si>
    <t>Mccollum</t>
  </si>
  <si>
    <t>Bret 313@mail.com</t>
  </si>
  <si>
    <t>coloured</t>
  </si>
  <si>
    <t>@Bret 31</t>
  </si>
  <si>
    <t>0.061898148</t>
  </si>
  <si>
    <t>0.00125</t>
  </si>
  <si>
    <t>0.000763889</t>
  </si>
  <si>
    <t>0.00224537</t>
  </si>
  <si>
    <t>0.014710648</t>
  </si>
  <si>
    <t>Len </t>
  </si>
  <si>
    <t>Pascarella</t>
  </si>
  <si>
    <t>Len 442@gmail.com</t>
  </si>
  <si>
    <t>indian_asian</t>
  </si>
  <si>
    <t>@Len 44</t>
  </si>
  <si>
    <t>0.003298611</t>
  </si>
  <si>
    <t>0.000150463</t>
  </si>
  <si>
    <t>Winona </t>
  </si>
  <si>
    <t>Wigfall</t>
  </si>
  <si>
    <t>Winona 482@gmail.com</t>
  </si>
  <si>
    <t>@Winona 48</t>
  </si>
  <si>
    <t>0.0000694444</t>
  </si>
  <si>
    <t>Kip </t>
  </si>
  <si>
    <t>Martello</t>
  </si>
  <si>
    <t>Kip 141@yahoo.com</t>
  </si>
  <si>
    <t>@Kip 14</t>
  </si>
  <si>
    <t>0.000532407</t>
  </si>
  <si>
    <t>Stacy 274@abcmail.com</t>
  </si>
  <si>
    <t>0.000173611</t>
  </si>
  <si>
    <t>Hugh</t>
  </si>
  <si>
    <t>Borelli</t>
  </si>
  <si>
    <t>Hugh13@mail.com</t>
  </si>
  <si>
    <t>@Hugh1</t>
  </si>
  <si>
    <t>0.003819444</t>
  </si>
  <si>
    <t>Winona 141@yahoo.com</t>
  </si>
  <si>
    <t>@Winona 14</t>
  </si>
  <si>
    <t>Africa Magic</t>
  </si>
  <si>
    <t>0.000659722</t>
  </si>
  <si>
    <t>0.064259259</t>
  </si>
  <si>
    <t>Roxane 52@gmail.com</t>
  </si>
  <si>
    <t>0.016018519</t>
  </si>
  <si>
    <t>0.004282407</t>
  </si>
  <si>
    <t>Claud </t>
  </si>
  <si>
    <t>Marek</t>
  </si>
  <si>
    <t>Claud 345@mailxyz.com</t>
  </si>
  <si>
    <t>Limpopo</t>
  </si>
  <si>
    <t>@Claud 34</t>
  </si>
  <si>
    <t>0.001018519</t>
  </si>
  <si>
    <t>0.003125</t>
  </si>
  <si>
    <t>0.002731481</t>
  </si>
  <si>
    <t>0.002592593</t>
  </si>
  <si>
    <t>0.000324074</t>
  </si>
  <si>
    <t>0.0000925926</t>
  </si>
  <si>
    <t>0.016064815</t>
  </si>
  <si>
    <t>Shane </t>
  </si>
  <si>
    <t>Luthy</t>
  </si>
  <si>
    <t>Shane 24@abcmail.com</t>
  </si>
  <si>
    <t>@Shane 2</t>
  </si>
  <si>
    <t>0.002013889</t>
  </si>
  <si>
    <t>M-Net</t>
  </si>
  <si>
    <t>0.00119213</t>
  </si>
  <si>
    <t>Raymundo </t>
  </si>
  <si>
    <t>Mina</t>
  </si>
  <si>
    <t>Raymundo 435@mailxyz.com</t>
  </si>
  <si>
    <t>@Raymundo 43</t>
  </si>
  <si>
    <t>Jacinto </t>
  </si>
  <si>
    <t>Jacinto 254@abcmail.com</t>
  </si>
  <si>
    <t>@Jacinto 25</t>
  </si>
  <si>
    <t>0.000162037</t>
  </si>
  <si>
    <t>0.003391204</t>
  </si>
  <si>
    <t>0.001111111</t>
  </si>
  <si>
    <t>0.005173611</t>
  </si>
  <si>
    <t>Dee </t>
  </si>
  <si>
    <t>Mastrangelo</t>
  </si>
  <si>
    <t>Dee 211@yahoo.com</t>
  </si>
  <si>
    <t>@Dee 21</t>
  </si>
  <si>
    <t>CNN</t>
  </si>
  <si>
    <t>0.014340278</t>
  </si>
  <si>
    <t>0.004351852</t>
  </si>
  <si>
    <t>0.009247685</t>
  </si>
  <si>
    <t>Northern Cape</t>
  </si>
  <si>
    <t>0.003912037</t>
  </si>
  <si>
    <t>0.000381944</t>
  </si>
  <si>
    <t>Anette </t>
  </si>
  <si>
    <t>Leicht</t>
  </si>
  <si>
    <t>Anette 341@yahoo.com</t>
  </si>
  <si>
    <t>@Anette 34</t>
  </si>
  <si>
    <t>0.009861111</t>
  </si>
  <si>
    <t>Williemae </t>
  </si>
  <si>
    <t>Holt</t>
  </si>
  <si>
    <t>Williemae 484@abcmail.com</t>
  </si>
  <si>
    <t>@Williemae 48</t>
  </si>
  <si>
    <t>0.000729167</t>
  </si>
  <si>
    <t>DStv Events 1</t>
  </si>
  <si>
    <t>0.001678241</t>
  </si>
  <si>
    <t>Royal </t>
  </si>
  <si>
    <t>Royal 175@mailxyz.com</t>
  </si>
  <si>
    <t>@Royal 17</t>
  </si>
  <si>
    <t>0.001689815</t>
  </si>
  <si>
    <t>Loyd </t>
  </si>
  <si>
    <t>Beville</t>
  </si>
  <si>
    <t>Loyd 492@gmail.com</t>
  </si>
  <si>
    <t>@Loyd 49</t>
  </si>
  <si>
    <t>0.004479167</t>
  </si>
  <si>
    <t>Anette 143@mail.com</t>
  </si>
  <si>
    <t>@Anette 14</t>
  </si>
  <si>
    <t>0.003425926</t>
  </si>
  <si>
    <t>0.000486111</t>
  </si>
  <si>
    <t>0.001770833</t>
  </si>
  <si>
    <t>Woolard</t>
  </si>
  <si>
    <t>Claud 344@abcmail.com</t>
  </si>
  <si>
    <t>0.008796296</t>
  </si>
  <si>
    <t>0.0028125</t>
  </si>
  <si>
    <t>0.002523148</t>
  </si>
  <si>
    <t>0.0034375</t>
  </si>
  <si>
    <t>0.001875</t>
  </si>
  <si>
    <t>0.000717593</t>
  </si>
  <si>
    <t>0.001134259</t>
  </si>
  <si>
    <t>0.001041667</t>
  </si>
  <si>
    <t>Jacinto 251@yahoo.com</t>
  </si>
  <si>
    <t>0.018912037</t>
  </si>
  <si>
    <t>0.001712963</t>
  </si>
  <si>
    <t>0.000590278</t>
  </si>
  <si>
    <t>0.000208333</t>
  </si>
  <si>
    <t>0.016782407</t>
  </si>
  <si>
    <t>0.072662037</t>
  </si>
  <si>
    <t>Stefan </t>
  </si>
  <si>
    <t>Stefan 464@abcmail.com</t>
  </si>
  <si>
    <t>@Stefan 46</t>
  </si>
  <si>
    <t>0.000127315</t>
  </si>
  <si>
    <t>Robby </t>
  </si>
  <si>
    <t>Mosser</t>
  </si>
  <si>
    <t>Robby 165@mailxyz.com</t>
  </si>
  <si>
    <t>@Robby 16</t>
  </si>
  <si>
    <t>0.006377315</t>
  </si>
  <si>
    <t>Randy </t>
  </si>
  <si>
    <t>Randy 395@mailxyz.com</t>
  </si>
  <si>
    <t>@Randy 39</t>
  </si>
  <si>
    <t>0.00037037</t>
  </si>
  <si>
    <t>Hollis </t>
  </si>
  <si>
    <t>Caves</t>
  </si>
  <si>
    <t>Hollis 383@mail.com</t>
  </si>
  <si>
    <t>@Hollis 38</t>
  </si>
  <si>
    <t>0.004143519</t>
  </si>
  <si>
    <t>Valentine </t>
  </si>
  <si>
    <t>Slane</t>
  </si>
  <si>
    <t>Valentine 474@abcmail.com</t>
  </si>
  <si>
    <t>@Valentine 47</t>
  </si>
  <si>
    <t>0.004050926</t>
  </si>
  <si>
    <t>Mellie </t>
  </si>
  <si>
    <t>Creager</t>
  </si>
  <si>
    <t>Mellie 411@yahoo.com</t>
  </si>
  <si>
    <t>@Mellie 41</t>
  </si>
  <si>
    <t>0.00193287</t>
  </si>
  <si>
    <t>Krysta 494@abcmail.com</t>
  </si>
  <si>
    <t>0.046076389</t>
  </si>
  <si>
    <t>Lucas </t>
  </si>
  <si>
    <t>Hier</t>
  </si>
  <si>
    <t>Lucas 233@mail.com</t>
  </si>
  <si>
    <t>Free State</t>
  </si>
  <si>
    <t>@Lucas 23</t>
  </si>
  <si>
    <t>0.003587963</t>
  </si>
  <si>
    <t>Shandra </t>
  </si>
  <si>
    <t>Shandra 411@yahoo.com</t>
  </si>
  <si>
    <t>@Shandra 41</t>
  </si>
  <si>
    <t>0.009074074</t>
  </si>
  <si>
    <t>0.009652778</t>
  </si>
  <si>
    <t>Curran</t>
  </si>
  <si>
    <t>Valentine 475@mailxyz.com</t>
  </si>
  <si>
    <t>0.006886574</t>
  </si>
  <si>
    <t>0.058263889</t>
  </si>
  <si>
    <t>0.000243056</t>
  </si>
  <si>
    <t>0.004236111</t>
  </si>
  <si>
    <t>0.055462963</t>
  </si>
  <si>
    <t>Michel </t>
  </si>
  <si>
    <t>Michel 204@abcmail.com</t>
  </si>
  <si>
    <t>@Michel 20</t>
  </si>
  <si>
    <t>Chas </t>
  </si>
  <si>
    <t>Mccown</t>
  </si>
  <si>
    <t>Chas 351@yahoo.com</t>
  </si>
  <si>
    <t>@Chas 35</t>
  </si>
  <si>
    <t>0.032847222</t>
  </si>
  <si>
    <t>0.0003125</t>
  </si>
  <si>
    <t>Biggers</t>
  </si>
  <si>
    <t>Garry 283@mail.com</t>
  </si>
  <si>
    <t>0.000671296</t>
  </si>
  <si>
    <t>Robby 162@gmail.com</t>
  </si>
  <si>
    <t>North West</t>
  </si>
  <si>
    <t>0.000787037</t>
  </si>
  <si>
    <t>Rebecka </t>
  </si>
  <si>
    <t>Shkreli</t>
  </si>
  <si>
    <t>Rebecka 172@gmail.com</t>
  </si>
  <si>
    <t>@Rebecka 17</t>
  </si>
  <si>
    <t>0.001388889</t>
  </si>
  <si>
    <t>0.000138889</t>
  </si>
  <si>
    <t>0.000694444</t>
  </si>
  <si>
    <t>0.000972222</t>
  </si>
  <si>
    <t>0.020381944</t>
  </si>
  <si>
    <t>0.010231481</t>
  </si>
  <si>
    <t>Wilburn </t>
  </si>
  <si>
    <t>Crotty</t>
  </si>
  <si>
    <t>Wilburn 302@gmail.com</t>
  </si>
  <si>
    <t>@Wilburn 30</t>
  </si>
  <si>
    <t>0.002025463</t>
  </si>
  <si>
    <t>0.011666667</t>
  </si>
  <si>
    <t>Fudge</t>
  </si>
  <si>
    <t>Garry 282@gmail.com</t>
  </si>
  <si>
    <t>0.000914352</t>
  </si>
  <si>
    <t>0.000451389</t>
  </si>
  <si>
    <t>0.001354167</t>
  </si>
  <si>
    <t>0.000868056</t>
  </si>
  <si>
    <t>0.002939815</t>
  </si>
  <si>
    <t>Styer</t>
  </si>
  <si>
    <t>Randy 394@abcmail.com</t>
  </si>
  <si>
    <t>0.001828704</t>
  </si>
  <si>
    <t>Roxana </t>
  </si>
  <si>
    <t>Roxana 365@mailxyz.com</t>
  </si>
  <si>
    <t>@Roxana 36</t>
  </si>
  <si>
    <t>0.002552083</t>
  </si>
  <si>
    <t>0.000341435</t>
  </si>
  <si>
    <t>0.000266204</t>
  </si>
  <si>
    <t>0.000289352</t>
  </si>
  <si>
    <t>0.000810185</t>
  </si>
  <si>
    <t>Williemae 111@yahoo.com</t>
  </si>
  <si>
    <t>Emerson </t>
  </si>
  <si>
    <t>Emerson 244@abcmail.com</t>
  </si>
  <si>
    <t>@Emerson 24</t>
  </si>
  <si>
    <t>0.00181713</t>
  </si>
  <si>
    <t>0.0000462963</t>
  </si>
  <si>
    <t>0.000185185</t>
  </si>
  <si>
    <t>0.00787037</t>
  </si>
  <si>
    <t>0.00025463</t>
  </si>
  <si>
    <t>Kyle </t>
  </si>
  <si>
    <t>Kyle 61@yahoo.com</t>
  </si>
  <si>
    <t>@Kyle 6</t>
  </si>
  <si>
    <t>Yolonda </t>
  </si>
  <si>
    <t>Yolonda 131@yahoo.com</t>
  </si>
  <si>
    <t>@Yolonda 13</t>
  </si>
  <si>
    <t>0.002905093</t>
  </si>
  <si>
    <t>0.001805556</t>
  </si>
  <si>
    <t>Tancredi</t>
  </si>
  <si>
    <t>Michel 203@mail.com</t>
  </si>
  <si>
    <t>0.000347222</t>
  </si>
  <si>
    <t>Yolonda 324@abcmail.com</t>
  </si>
  <si>
    <t>@Yolonda 32</t>
  </si>
  <si>
    <t>0.061493056</t>
  </si>
  <si>
    <t>0.0000231481</t>
  </si>
  <si>
    <t>0.003888889</t>
  </si>
  <si>
    <t>0.002604167</t>
  </si>
  <si>
    <t>0.034155093</t>
  </si>
  <si>
    <t>Lillie </t>
  </si>
  <si>
    <t>Langenfeld</t>
  </si>
  <si>
    <t>Lillie 463@mail.com</t>
  </si>
  <si>
    <t>@Lillie 46</t>
  </si>
  <si>
    <t>0.017256944</t>
  </si>
  <si>
    <t>Raymundo 432@gmail.com</t>
  </si>
  <si>
    <t>0.005972222</t>
  </si>
  <si>
    <t>0.006365741</t>
  </si>
  <si>
    <t>0.011990741</t>
  </si>
  <si>
    <t>0.0103125</t>
  </si>
  <si>
    <t>0.000462963</t>
  </si>
  <si>
    <t>Michel 205@mailxyz.com</t>
  </si>
  <si>
    <t>0.002482639</t>
  </si>
  <si>
    <t>0.002638889</t>
  </si>
  <si>
    <t>Restivo</t>
  </si>
  <si>
    <t>Raymundo 434@abcmail.com</t>
  </si>
  <si>
    <t>0.016666667</t>
  </si>
  <si>
    <t>0.004849537</t>
  </si>
  <si>
    <t>Gettys</t>
  </si>
  <si>
    <t>Yong 482@gmail.com</t>
  </si>
  <si>
    <t>0.002824074</t>
  </si>
  <si>
    <t>0.001527778</t>
  </si>
  <si>
    <t>0.013310185</t>
  </si>
  <si>
    <t>Eli </t>
  </si>
  <si>
    <t>Eli 294@abcmail.com</t>
  </si>
  <si>
    <t>@Eli 29</t>
  </si>
  <si>
    <t>0.000219907</t>
  </si>
  <si>
    <t>Len 444@abcmail.com</t>
  </si>
  <si>
    <t>0.000439815</t>
  </si>
  <si>
    <t>0.006967593</t>
  </si>
  <si>
    <t>0.023680556</t>
  </si>
  <si>
    <t>0.053240741</t>
  </si>
  <si>
    <t>0.025983796</t>
  </si>
  <si>
    <t>0.000613426</t>
  </si>
  <si>
    <t>0.075439815</t>
  </si>
  <si>
    <t>Bret 312@gmail.com</t>
  </si>
  <si>
    <t>Roquemore</t>
  </si>
  <si>
    <t>Hollis 382@gmail.com</t>
  </si>
  <si>
    <t>0.001423611</t>
  </si>
  <si>
    <t>0.038703704</t>
  </si>
  <si>
    <t>Kip 144@abcmail.com</t>
  </si>
  <si>
    <t>0.012893519</t>
  </si>
  <si>
    <t>Romeo </t>
  </si>
  <si>
    <t>Romeo 374@abcmail.com</t>
  </si>
  <si>
    <t>@Romeo 37</t>
  </si>
  <si>
    <t>0.020173611</t>
  </si>
  <si>
    <t>Meghann </t>
  </si>
  <si>
    <t>Meghann 224@abcmail.com</t>
  </si>
  <si>
    <t>@Meghann 22</t>
  </si>
  <si>
    <t>0.00625</t>
  </si>
  <si>
    <t>Yong 483@mail.com</t>
  </si>
  <si>
    <t>0.006296296</t>
  </si>
  <si>
    <t>0.001273148</t>
  </si>
  <si>
    <t>0.001435185</t>
  </si>
  <si>
    <t>0.00099537</t>
  </si>
  <si>
    <t>Lloyd </t>
  </si>
  <si>
    <t>Lloyd 73@mail.com</t>
  </si>
  <si>
    <t>@Lloyd 7</t>
  </si>
  <si>
    <t>0.000104167</t>
  </si>
  <si>
    <t>Stephen </t>
  </si>
  <si>
    <t>Stephen 152@gmail.com</t>
  </si>
  <si>
    <t>@Stephen 15</t>
  </si>
  <si>
    <t>0.005480324</t>
  </si>
  <si>
    <t>Bess </t>
  </si>
  <si>
    <t>Jacox</t>
  </si>
  <si>
    <t>Bess 52@gmail.com</t>
  </si>
  <si>
    <t>@Bess 5</t>
  </si>
  <si>
    <t>0.00337963</t>
  </si>
  <si>
    <t>Jared </t>
  </si>
  <si>
    <t>Pool</t>
  </si>
  <si>
    <t>Jared 504@abcmail.com</t>
  </si>
  <si>
    <t>@Jared 50</t>
  </si>
  <si>
    <t>Dee 215@mailxyz.com</t>
  </si>
  <si>
    <t>0.001400463</t>
  </si>
  <si>
    <t>SuperSport Live Events</t>
  </si>
  <si>
    <t>Royal 171@yahoo.com</t>
  </si>
  <si>
    <t>Romeo 372@gmail.com</t>
  </si>
  <si>
    <t>Len 441@yahoo.com</t>
  </si>
  <si>
    <t>kykNET</t>
  </si>
  <si>
    <t>Rebekah </t>
  </si>
  <si>
    <t>Rebekah 435@mailxyz.com</t>
  </si>
  <si>
    <t>@Rebekah 43</t>
  </si>
  <si>
    <t>0.005954861</t>
  </si>
  <si>
    <t>Charlie </t>
  </si>
  <si>
    <t>Charlie 364@abcmail.com</t>
  </si>
  <si>
    <t>@Charlie 36</t>
  </si>
  <si>
    <t>0.001458333</t>
  </si>
  <si>
    <t>Robby 163@mail.com</t>
  </si>
  <si>
    <t>0.003541667</t>
  </si>
  <si>
    <t>0.003576389</t>
  </si>
  <si>
    <t>Stephen 151@yahoo.com</t>
  </si>
  <si>
    <t>0.083194444</t>
  </si>
  <si>
    <t>Hugh14@abcmail.com</t>
  </si>
  <si>
    <t>0.001226852</t>
  </si>
  <si>
    <t>Efren </t>
  </si>
  <si>
    <t>Efren 133@mail.com</t>
  </si>
  <si>
    <t>@Efren 13</t>
  </si>
  <si>
    <t>Seema 484@abcmail.com</t>
  </si>
  <si>
    <t>Brendan </t>
  </si>
  <si>
    <t>Brendan 451@yahoo.com</t>
  </si>
  <si>
    <t>@Brendan 45</t>
  </si>
  <si>
    <t>0.004340278</t>
  </si>
  <si>
    <t>0.013263889</t>
  </si>
  <si>
    <t>0.003611111</t>
  </si>
  <si>
    <t>0.000925926</t>
  </si>
  <si>
    <t>0.000960648</t>
  </si>
  <si>
    <t>0.001371528</t>
  </si>
  <si>
    <t>0.000648148</t>
  </si>
  <si>
    <t>Art 402@gmail.com</t>
  </si>
  <si>
    <t>0.002800926</t>
  </si>
  <si>
    <t>Bess 32@gmail.com</t>
  </si>
  <si>
    <t>Alecia </t>
  </si>
  <si>
    <t>Alecia 415@mailxyz.com</t>
  </si>
  <si>
    <t>@Alecia 41</t>
  </si>
  <si>
    <t>0.006979167</t>
  </si>
  <si>
    <t>Rebekah 374@abcmail.com</t>
  </si>
  <si>
    <t>0.002430556</t>
  </si>
  <si>
    <t>Emilie 443@mail.com</t>
  </si>
  <si>
    <t>0.001203704</t>
  </si>
  <si>
    <t>Shane 22@gmail.com</t>
  </si>
  <si>
    <t>0.001597222</t>
  </si>
  <si>
    <t>0.004201389</t>
  </si>
  <si>
    <t>0.013715278</t>
  </si>
  <si>
    <t>0.004131944</t>
  </si>
  <si>
    <t>Hugh11@yahoo.com</t>
  </si>
  <si>
    <t>0.003275463</t>
  </si>
  <si>
    <t>Filiberto 45@mailxyz.com</t>
  </si>
  <si>
    <t>Sharri 332@gmail.com</t>
  </si>
  <si>
    <t>0.006597222</t>
  </si>
  <si>
    <t>Gretta 45@mailxyz.com</t>
  </si>
  <si>
    <t>0.007326389</t>
  </si>
  <si>
    <t>Bess 134@abcmail.com</t>
  </si>
  <si>
    <t>0.01775463</t>
  </si>
  <si>
    <t>Sharri </t>
  </si>
  <si>
    <t>Sharri 162@gmail.com</t>
  </si>
  <si>
    <t>@Sharri 16</t>
  </si>
  <si>
    <t>0.007986111</t>
  </si>
  <si>
    <t>MK</t>
  </si>
  <si>
    <t>0.000231481</t>
  </si>
  <si>
    <t>0.001024306</t>
  </si>
  <si>
    <t>Trudie 473@mail.com</t>
  </si>
  <si>
    <t>Lane </t>
  </si>
  <si>
    <t>Lane 111@yahoo.com</t>
  </si>
  <si>
    <t>@Lane 11</t>
  </si>
  <si>
    <t>0.008715278</t>
  </si>
  <si>
    <t>0.006990741</t>
  </si>
  <si>
    <t>0.0000115741</t>
  </si>
  <si>
    <t>Donald 223@mail.com</t>
  </si>
  <si>
    <t>0.004548611</t>
  </si>
  <si>
    <t>0.001944444</t>
  </si>
  <si>
    <t>Epifania 75@mailxyz.com</t>
  </si>
  <si>
    <t>0.064236111</t>
  </si>
  <si>
    <t>Kip 142@gmail.com</t>
  </si>
  <si>
    <t>Vuzu</t>
  </si>
  <si>
    <t>0.001440972</t>
  </si>
  <si>
    <t>0.000625</t>
  </si>
  <si>
    <t>0.001643519</t>
  </si>
  <si>
    <t>0.00791088</t>
  </si>
  <si>
    <t>Bret 315@mailxyz.com</t>
  </si>
  <si>
    <t>0.0000347222</t>
  </si>
  <si>
    <t>0.003402778</t>
  </si>
  <si>
    <t>0.000416667</t>
  </si>
  <si>
    <t>0.026111111</t>
  </si>
  <si>
    <t>0.00244213</t>
  </si>
  <si>
    <t>Loris 354@abcmail.com</t>
  </si>
  <si>
    <t>0.003935185</t>
  </si>
  <si>
    <t>Emerson 241@yahoo.com</t>
  </si>
  <si>
    <t>0.001793981</t>
  </si>
  <si>
    <t>0.009699074</t>
  </si>
  <si>
    <t>Len 443@mail.com</t>
  </si>
  <si>
    <t>Seema </t>
  </si>
  <si>
    <t>Seema 462@gmail.com</t>
  </si>
  <si>
    <t>@Seema 46</t>
  </si>
  <si>
    <t>0.027638889</t>
  </si>
  <si>
    <t>Iva </t>
  </si>
  <si>
    <t>Iva 213@mail.com</t>
  </si>
  <si>
    <t>@Iva 21</t>
  </si>
  <si>
    <t>0.00150463</t>
  </si>
  <si>
    <t>Zetta 73@mail.com</t>
  </si>
  <si>
    <t>Brendan 454@abcmail.com</t>
  </si>
  <si>
    <t>0.001967593</t>
  </si>
  <si>
    <t>Haywood </t>
  </si>
  <si>
    <t>Lavoie</t>
  </si>
  <si>
    <t>Haywood 93@mail.com</t>
  </si>
  <si>
    <t>@Haywood 9</t>
  </si>
  <si>
    <t>0.001979167</t>
  </si>
  <si>
    <t>Tiffani 292@gmail.com</t>
  </si>
  <si>
    <t>Haywood 94@abcmail.com</t>
  </si>
  <si>
    <t>0.015920139</t>
  </si>
  <si>
    <t>0.002222222</t>
  </si>
  <si>
    <t>0.002743056</t>
  </si>
  <si>
    <t>0.003703704</t>
  </si>
  <si>
    <t>0.003263889</t>
  </si>
  <si>
    <t>Emerson 245@mailxyz.com</t>
  </si>
  <si>
    <t>0.000202546</t>
  </si>
  <si>
    <t>0.0000810185</t>
  </si>
  <si>
    <t>Lesli 111@yahoo.com</t>
  </si>
  <si>
    <t>0.000196759</t>
  </si>
  <si>
    <t>0.000515046</t>
  </si>
  <si>
    <t>Markus </t>
  </si>
  <si>
    <t>Sieren</t>
  </si>
  <si>
    <t>Markus 191@yahoo.com</t>
  </si>
  <si>
    <t>@Markus 19</t>
  </si>
  <si>
    <t>Efren 134@abcmail.com</t>
  </si>
  <si>
    <t>0.0000578704</t>
  </si>
  <si>
    <t>0.004988426</t>
  </si>
  <si>
    <t>Gretta 195@mailxyz.com</t>
  </si>
  <si>
    <t>Hyman </t>
  </si>
  <si>
    <t>Hyman 82@gmail.com</t>
  </si>
  <si>
    <t>@Hyman 8</t>
  </si>
  <si>
    <t>0.008333333</t>
  </si>
  <si>
    <t>0.010104167</t>
  </si>
  <si>
    <t>Raymundo 433@mail.com</t>
  </si>
  <si>
    <t>0.040625</t>
  </si>
  <si>
    <t>0.004537037</t>
  </si>
  <si>
    <t>0.003171296</t>
  </si>
  <si>
    <t>Dia </t>
  </si>
  <si>
    <t>Arrieta</t>
  </si>
  <si>
    <t>Dia 334@abcmail.com</t>
  </si>
  <si>
    <t>@Dia 33</t>
  </si>
  <si>
    <t>0.001921296</t>
  </si>
  <si>
    <t>Donald 222@gmail.com</t>
  </si>
  <si>
    <t>0.018935185</t>
  </si>
  <si>
    <t>0.027268519</t>
  </si>
  <si>
    <t>Minerva </t>
  </si>
  <si>
    <t>Minerva 372@gmail.com</t>
  </si>
  <si>
    <t>@Minerva 37</t>
  </si>
  <si>
    <t>0.026944444</t>
  </si>
  <si>
    <t>0.006574074</t>
  </si>
  <si>
    <t>0.000335648</t>
  </si>
  <si>
    <t>Desirae </t>
  </si>
  <si>
    <t>Desirae 455@mailxyz.com</t>
  </si>
  <si>
    <t>@Desirae 45</t>
  </si>
  <si>
    <t>Cody </t>
  </si>
  <si>
    <t>Cody 124@abcmail.com</t>
  </si>
  <si>
    <t>@Cody 12</t>
  </si>
  <si>
    <t>0.022094907</t>
  </si>
  <si>
    <t>Alissa </t>
  </si>
  <si>
    <t>Alissa 143@mail.com</t>
  </si>
  <si>
    <t>@Alissa 14</t>
  </si>
  <si>
    <t>0.006458333</t>
  </si>
  <si>
    <t>Jacinto 252@gmail.com</t>
  </si>
  <si>
    <t>Valentine 472@gmail.com</t>
  </si>
  <si>
    <t>0.021597222</t>
  </si>
  <si>
    <t>Nubia </t>
  </si>
  <si>
    <t>Nubia 45@mailxyz.com</t>
  </si>
  <si>
    <t>@Nubia 4</t>
  </si>
  <si>
    <t>0.004155093</t>
  </si>
  <si>
    <t>Lucas 234@abcmail.com</t>
  </si>
  <si>
    <t>0.001493056</t>
  </si>
  <si>
    <t>Bilyeu</t>
  </si>
  <si>
    <t>Stefan 463@mail.com</t>
  </si>
  <si>
    <t>0.007824074</t>
  </si>
  <si>
    <t>0.000358796</t>
  </si>
  <si>
    <t>Minerva 205@mailxyz.com</t>
  </si>
  <si>
    <t>@Minerva 20</t>
  </si>
  <si>
    <t>0.0009375</t>
  </si>
  <si>
    <t>Dion </t>
  </si>
  <si>
    <t>Dion 333@mail.com</t>
  </si>
  <si>
    <t>@Dion 33</t>
  </si>
  <si>
    <t>Eula </t>
  </si>
  <si>
    <t>Eula 395@mailxyz.com</t>
  </si>
  <si>
    <t>@Eula 39</t>
  </si>
  <si>
    <t>0.007743056</t>
  </si>
  <si>
    <t>Briana 302@gmail.com</t>
  </si>
  <si>
    <t>Lane 115@mailxyz.com</t>
  </si>
  <si>
    <t>0.000190972</t>
  </si>
  <si>
    <t>0.005543981</t>
  </si>
  <si>
    <t>Cory 101@yahoo.com</t>
  </si>
  <si>
    <t>0.027939815</t>
  </si>
  <si>
    <t>Stefan 465@mailxyz.com</t>
  </si>
  <si>
    <t>0.006157407</t>
  </si>
  <si>
    <t>0.020034722</t>
  </si>
  <si>
    <t>0.001006944</t>
  </si>
  <si>
    <t>0.009826389</t>
  </si>
  <si>
    <t>Briana 271@yahoo.com</t>
  </si>
  <si>
    <t>0.005601852</t>
  </si>
  <si>
    <t>Stacy 273@mail.com</t>
  </si>
  <si>
    <t>0.002569444</t>
  </si>
  <si>
    <t>Samuel </t>
  </si>
  <si>
    <t>Samuel 265@mailxyz.com</t>
  </si>
  <si>
    <t>@Samuel 26</t>
  </si>
  <si>
    <t>0.009791667</t>
  </si>
  <si>
    <t>Loyd 495@mailxyz.com</t>
  </si>
  <si>
    <t>Hollis 384@abcmail.com</t>
  </si>
  <si>
    <t>0.004930556</t>
  </si>
  <si>
    <t>0.003333333</t>
  </si>
  <si>
    <t>Tiffani </t>
  </si>
  <si>
    <t>Tiffani 383@mail.com</t>
  </si>
  <si>
    <t>@Tiffani 38</t>
  </si>
  <si>
    <t>Nubia 405@mailxyz.com</t>
  </si>
  <si>
    <t>@Nubia 40</t>
  </si>
  <si>
    <t>Hollis 385@mailxyz.com</t>
  </si>
  <si>
    <t>0.001585648</t>
  </si>
  <si>
    <t>Romeo 375@mailxyz.com</t>
  </si>
  <si>
    <t>Lillian </t>
  </si>
  <si>
    <t>Lillian 233@mail.com</t>
  </si>
  <si>
    <t>@Lillian 23</t>
  </si>
  <si>
    <t>0.00255787</t>
  </si>
  <si>
    <t>0.021643519</t>
  </si>
  <si>
    <t>0.008946759</t>
  </si>
  <si>
    <t>Stephen 155@mailxyz.com</t>
  </si>
  <si>
    <t>0.001087963</t>
  </si>
  <si>
    <t>0.007118056</t>
  </si>
  <si>
    <t>Markus 195@mailxyz.com</t>
  </si>
  <si>
    <t>0.005439815</t>
  </si>
  <si>
    <t>0.012152778</t>
  </si>
  <si>
    <t>Anette 244@abcmail.com</t>
  </si>
  <si>
    <t>@Anette 24</t>
  </si>
  <si>
    <t>0.0000173611</t>
  </si>
  <si>
    <t>Emerson 243@mail.com</t>
  </si>
  <si>
    <t>Irving </t>
  </si>
  <si>
    <t>Irving 53@mail.com</t>
  </si>
  <si>
    <t>@Irving 5</t>
  </si>
  <si>
    <t>0.016527778</t>
  </si>
  <si>
    <t>0.005208333</t>
  </si>
  <si>
    <t>Deblois</t>
  </si>
  <si>
    <t>0.010555556</t>
  </si>
  <si>
    <t>0.003993056</t>
  </si>
  <si>
    <t>0.006319444</t>
  </si>
  <si>
    <t>0.009166667</t>
  </si>
  <si>
    <t>Lesli </t>
  </si>
  <si>
    <t>Lesli 205@mailxyz.com</t>
  </si>
  <si>
    <t>@Lesli 20</t>
  </si>
  <si>
    <t>0.000601852</t>
  </si>
  <si>
    <t>Lillian 221@yahoo.com</t>
  </si>
  <si>
    <t>@Lillian 22</t>
  </si>
  <si>
    <t>0.001145833</t>
  </si>
  <si>
    <t>Abel </t>
  </si>
  <si>
    <t>Abel 183@mail.com</t>
  </si>
  <si>
    <t>@Abel 18</t>
  </si>
  <si>
    <t>0.001736111</t>
  </si>
  <si>
    <t>0.000821759</t>
  </si>
  <si>
    <t>Earl </t>
  </si>
  <si>
    <t>Earl 423@mail.com</t>
  </si>
  <si>
    <t>@Earl 42</t>
  </si>
  <si>
    <t>0.00087963</t>
  </si>
  <si>
    <t>Katharina </t>
  </si>
  <si>
    <t>Condie</t>
  </si>
  <si>
    <t>Katharina 203@mail.com</t>
  </si>
  <si>
    <t>@Katharina 20</t>
  </si>
  <si>
    <t>Yong 481@yahoo.com</t>
  </si>
  <si>
    <t>0.000902778</t>
  </si>
  <si>
    <t>0.030416667</t>
  </si>
  <si>
    <t>0.085381944</t>
  </si>
  <si>
    <t>0.012268519</t>
  </si>
  <si>
    <t>0.010474537</t>
  </si>
  <si>
    <t>0.004392361</t>
  </si>
  <si>
    <t>Lucas 232@gmail.com</t>
  </si>
  <si>
    <t>0.002951389</t>
  </si>
  <si>
    <t>0.001747685</t>
  </si>
  <si>
    <t>0.004791667</t>
  </si>
  <si>
    <t>Hugh15@mailxyz.com</t>
  </si>
  <si>
    <t>Donald 221@yahoo.com</t>
  </si>
  <si>
    <t>0.005706019</t>
  </si>
  <si>
    <t>0.085555556</t>
  </si>
  <si>
    <t>0.016736111</t>
  </si>
  <si>
    <t>Robby 164@abcmail.com</t>
  </si>
  <si>
    <t>0.010902778</t>
  </si>
  <si>
    <t>Emilie </t>
  </si>
  <si>
    <t>Emilie 504@abcmail.com</t>
  </si>
  <si>
    <t>@Emilie 50</t>
  </si>
  <si>
    <t>0.000752315</t>
  </si>
  <si>
    <t>0.001516204</t>
  </si>
  <si>
    <t>0.021782407</t>
  </si>
  <si>
    <t>0.030266204</t>
  </si>
  <si>
    <t>0.005949074</t>
  </si>
  <si>
    <t>Wilburn 304@abcmail.com</t>
  </si>
  <si>
    <t>Filiberto 43@mail.com</t>
  </si>
  <si>
    <t>0.003009259</t>
  </si>
  <si>
    <t>0.014166667</t>
  </si>
  <si>
    <t>0.010393519</t>
  </si>
  <si>
    <t>Dion 332@gmail.com</t>
  </si>
  <si>
    <t>0.006064815</t>
  </si>
  <si>
    <t>0.002083333</t>
  </si>
  <si>
    <t>0.0021875</t>
  </si>
  <si>
    <t>Earline </t>
  </si>
  <si>
    <t>Earline 323@mail.com</t>
  </si>
  <si>
    <t>@Earline 32</t>
  </si>
  <si>
    <t>0.030868056</t>
  </si>
  <si>
    <t>Wilton </t>
  </si>
  <si>
    <t>Wilton 411@yahoo.com</t>
  </si>
  <si>
    <t>@Wilton 41</t>
  </si>
  <si>
    <t>Alecia 164@abcmail.com</t>
  </si>
  <si>
    <t>@Alecia 16</t>
  </si>
  <si>
    <t>0.001909722</t>
  </si>
  <si>
    <t>0.004166667</t>
  </si>
  <si>
    <t>Earl 425@mailxyz.com</t>
  </si>
  <si>
    <t>Stacy 272@gmail.com</t>
  </si>
  <si>
    <t>0.001099537</t>
  </si>
  <si>
    <t>0.000949074</t>
  </si>
  <si>
    <t>0.003796296</t>
  </si>
  <si>
    <t>Sharri 361@yahoo.com</t>
  </si>
  <si>
    <t>0.000983796</t>
  </si>
  <si>
    <t>Samuel 262@gmail.com</t>
  </si>
  <si>
    <t>0.002777778</t>
  </si>
  <si>
    <t>0.01875</t>
  </si>
  <si>
    <t>0.011550926</t>
  </si>
  <si>
    <t>Eli 295@mailxyz.com</t>
  </si>
  <si>
    <t>0.052152778</t>
  </si>
  <si>
    <t>Hoadley</t>
  </si>
  <si>
    <t>0.00662037</t>
  </si>
  <si>
    <t>Brendan 452@gmail.com</t>
  </si>
  <si>
    <t>0.004826389</t>
  </si>
  <si>
    <t>0.011365741</t>
  </si>
  <si>
    <t>Lesli 225@mailxyz.com</t>
  </si>
  <si>
    <t>0.003483796</t>
  </si>
  <si>
    <t>0.001365741</t>
  </si>
  <si>
    <t>Art 403@mail.com</t>
  </si>
  <si>
    <t>0.001296296</t>
  </si>
  <si>
    <t>Wilton 413@mail.com</t>
  </si>
  <si>
    <t>0.000636574</t>
  </si>
  <si>
    <t>0.002395833</t>
  </si>
  <si>
    <t>0.001319444</t>
  </si>
  <si>
    <t>0.003055556</t>
  </si>
  <si>
    <t>0.003148148</t>
  </si>
  <si>
    <t>0.006805556</t>
  </si>
  <si>
    <t>0.0053125</t>
  </si>
  <si>
    <t>0.016041667</t>
  </si>
  <si>
    <t>0.010601852</t>
  </si>
  <si>
    <t>0.011354167</t>
  </si>
  <si>
    <t>0.000318287</t>
  </si>
  <si>
    <t>0.017152778</t>
  </si>
  <si>
    <t>0.000509259</t>
  </si>
  <si>
    <t>Emilie 234@abcmail.com</t>
  </si>
  <si>
    <t>@Emilie 23</t>
  </si>
  <si>
    <t>Desirae 292@gmail.com</t>
  </si>
  <si>
    <t>@Desirae 29</t>
  </si>
  <si>
    <t>0.007534722</t>
  </si>
  <si>
    <t>Singer</t>
  </si>
  <si>
    <t>Claud 341@yahoo.com</t>
  </si>
  <si>
    <t>0.024664352</t>
  </si>
  <si>
    <t>Vital</t>
  </si>
  <si>
    <t>Irving 51@yahoo.com</t>
  </si>
  <si>
    <t>Bernardo </t>
  </si>
  <si>
    <t>Bernardo 322@gmail.com</t>
  </si>
  <si>
    <t>@Bernardo 32</t>
  </si>
  <si>
    <t>0.002847222</t>
  </si>
  <si>
    <t>0.010972222</t>
  </si>
  <si>
    <t>Winona 414@abcmail.com</t>
  </si>
  <si>
    <t>@Winona 41</t>
  </si>
  <si>
    <t>Epifania </t>
  </si>
  <si>
    <t>Epifania 353@mail.com</t>
  </si>
  <si>
    <t>@Epifania 35</t>
  </si>
  <si>
    <t>0.002152778</t>
  </si>
  <si>
    <t>Charlie 362@gmail.com</t>
  </si>
  <si>
    <t>0.000584491</t>
  </si>
  <si>
    <t>Yolonda 203@mail.com</t>
  </si>
  <si>
    <t>@Yolonda 20</t>
  </si>
  <si>
    <t>0.000798611</t>
  </si>
  <si>
    <t>Samuel 261@yahoo.com</t>
  </si>
  <si>
    <t>0.01375</t>
  </si>
  <si>
    <t>Garry 285@mailxyz.com</t>
  </si>
  <si>
    <t>Randy 391@yahoo.com</t>
  </si>
  <si>
    <t>0.00275463</t>
  </si>
  <si>
    <t>Romeo 371@yahoo.com</t>
  </si>
  <si>
    <t>Cory 102@gmail.com</t>
  </si>
  <si>
    <t>Lillie 431@yahoo.com</t>
  </si>
  <si>
    <t>@Lillie 43</t>
  </si>
  <si>
    <t>0.012662037</t>
  </si>
  <si>
    <t>0.011967593</t>
  </si>
  <si>
    <t>0.200694444</t>
  </si>
  <si>
    <t>Earl 421@yahoo.com</t>
  </si>
  <si>
    <t>0.013032407</t>
  </si>
  <si>
    <t>0.015694444</t>
  </si>
  <si>
    <t>Hyman 85@mailxyz.com</t>
  </si>
  <si>
    <t>0.001157407</t>
  </si>
  <si>
    <t>0.000497685</t>
  </si>
  <si>
    <t>0.017881944</t>
  </si>
  <si>
    <t>0.009201389</t>
  </si>
  <si>
    <t>0.042013889</t>
  </si>
  <si>
    <t>0.007060185</t>
  </si>
  <si>
    <t>0.001886574</t>
  </si>
  <si>
    <t>0.008055556</t>
  </si>
  <si>
    <t>0.001903935</t>
  </si>
  <si>
    <t>0.003472222</t>
  </si>
  <si>
    <t>0.003680556</t>
  </si>
  <si>
    <t>Alecia 173@mail.com</t>
  </si>
  <si>
    <t>0.001701389</t>
  </si>
  <si>
    <t>Kyle 64@abcmail.com</t>
  </si>
  <si>
    <t>0.01119213</t>
  </si>
  <si>
    <t>0.003761574</t>
  </si>
  <si>
    <t>0.001342593</t>
  </si>
  <si>
    <t>0.0000752315</t>
  </si>
  <si>
    <t>Jacinto 253@mail.com</t>
  </si>
  <si>
    <t>0.000428241</t>
  </si>
  <si>
    <t>0.00287037</t>
  </si>
  <si>
    <t>Randy 392@gmail.com</t>
  </si>
  <si>
    <t>0.012962963</t>
  </si>
  <si>
    <t>Charlie 365@mailxyz.com</t>
  </si>
  <si>
    <t>0.005590278</t>
  </si>
  <si>
    <t>0.016354167</t>
  </si>
  <si>
    <t>0.036736111</t>
  </si>
  <si>
    <t>0.005798611</t>
  </si>
  <si>
    <t>0.002372685</t>
  </si>
  <si>
    <t>Markus 192@gmail.com</t>
  </si>
  <si>
    <t>0.000607639</t>
  </si>
  <si>
    <t>0.006712963</t>
  </si>
  <si>
    <t>Len 445@mailxyz.com</t>
  </si>
  <si>
    <t>0.001666667</t>
  </si>
  <si>
    <t>0.005659722</t>
  </si>
  <si>
    <t>Efren 131@yahoo.com</t>
  </si>
  <si>
    <t>Emilie 12@gmail.com</t>
  </si>
  <si>
    <t>@Emilie 1</t>
  </si>
  <si>
    <t>0.005138889</t>
  </si>
  <si>
    <t>0.007644676</t>
  </si>
  <si>
    <t>0.006493056</t>
  </si>
  <si>
    <t>Charlie 363@mail.com</t>
  </si>
  <si>
    <t>Bret 311@yahoo.com</t>
  </si>
  <si>
    <t>Cody 122@gmail.com</t>
  </si>
  <si>
    <t>0.00412037</t>
  </si>
  <si>
    <t>0.005451389</t>
  </si>
  <si>
    <t>0.004097222</t>
  </si>
  <si>
    <t>0.001898148</t>
  </si>
  <si>
    <t>0.000706019</t>
  </si>
  <si>
    <t>Iva 435@mailxyz.com</t>
  </si>
  <si>
    <t>@Iva 43</t>
  </si>
  <si>
    <t>0.03162037</t>
  </si>
  <si>
    <t>Earl 422@gmail.com</t>
  </si>
  <si>
    <t>0.125833333</t>
  </si>
  <si>
    <t>0.031215278</t>
  </si>
  <si>
    <t>0.004305556</t>
  </si>
  <si>
    <t>0.009814815</t>
  </si>
  <si>
    <t>0.004270833</t>
  </si>
  <si>
    <t>Efren 132@gmail.com</t>
  </si>
  <si>
    <t>0.011828704</t>
  </si>
  <si>
    <t>Stefan 462@gmail.com</t>
  </si>
  <si>
    <t>0.000445602</t>
  </si>
  <si>
    <t>0.00380787</t>
  </si>
  <si>
    <t>Jared 502@gmail.com</t>
  </si>
  <si>
    <t>0.004675926</t>
  </si>
  <si>
    <t>Felipa </t>
  </si>
  <si>
    <t>Felipa 175@mailxyz.com</t>
  </si>
  <si>
    <t>@Felipa 17</t>
  </si>
  <si>
    <t>0.000133102</t>
  </si>
  <si>
    <t>0.022083333</t>
  </si>
  <si>
    <t>0.005046296</t>
  </si>
  <si>
    <t>Chas 354@abcmail.com</t>
  </si>
  <si>
    <t>0.004386574</t>
  </si>
  <si>
    <t>0.006875</t>
  </si>
  <si>
    <t>0.007199074</t>
  </si>
  <si>
    <t>0.001215278</t>
  </si>
  <si>
    <t>0.00078125</t>
  </si>
  <si>
    <t>0.00375</t>
  </si>
  <si>
    <t>0.000520833</t>
  </si>
  <si>
    <t>0.005104167</t>
  </si>
  <si>
    <t>0.024861111</t>
  </si>
  <si>
    <t>Jacinto 255@mailxyz.com</t>
  </si>
  <si>
    <t>Valentine 473@mail.com</t>
  </si>
  <si>
    <t>0.007546296</t>
  </si>
  <si>
    <t>0.007303241</t>
  </si>
  <si>
    <t>Kip 145@mailxyz.com</t>
  </si>
  <si>
    <t>Hyman 83@mail.com</t>
  </si>
  <si>
    <t>0.013703704</t>
  </si>
  <si>
    <t>0.010196759</t>
  </si>
  <si>
    <t>0.000405093</t>
  </si>
  <si>
    <t>Romeo 373@mail.com</t>
  </si>
  <si>
    <t>Roxane </t>
  </si>
  <si>
    <t>Roxane 185@mailxyz.com</t>
  </si>
  <si>
    <t>@Roxane 18</t>
  </si>
  <si>
    <t>0.002581019</t>
  </si>
  <si>
    <t>Robby 161@yahoo.com</t>
  </si>
  <si>
    <t>0.000711806</t>
  </si>
  <si>
    <t>0.001412037</t>
  </si>
  <si>
    <t>0.001064815</t>
  </si>
  <si>
    <t>Minerva 293@mail.com</t>
  </si>
  <si>
    <t>@Minerva 29</t>
  </si>
  <si>
    <t>0.000283565</t>
  </si>
  <si>
    <t>Lane 112@gmail.com</t>
  </si>
  <si>
    <t>0.004768519</t>
  </si>
  <si>
    <t>0.010081019</t>
  </si>
  <si>
    <t>0.025729167</t>
  </si>
  <si>
    <t>0.001782407</t>
  </si>
  <si>
    <t>0.002685185</t>
  </si>
  <si>
    <t>0.020902778</t>
  </si>
  <si>
    <t>0.003854167</t>
  </si>
  <si>
    <t>0.018263889</t>
  </si>
  <si>
    <t>0.011064815</t>
  </si>
  <si>
    <t>0.014953704</t>
  </si>
  <si>
    <t>Dee 213@mail.com</t>
  </si>
  <si>
    <t>0.006527778</t>
  </si>
  <si>
    <t>0.0000289352</t>
  </si>
  <si>
    <t>Cody 123@mail.com</t>
  </si>
  <si>
    <t>0.000775463</t>
  </si>
  <si>
    <t>Wilburn 305@mailxyz.com</t>
  </si>
  <si>
    <t>0.001122685</t>
  </si>
  <si>
    <t>0.037222222</t>
  </si>
  <si>
    <t>0.004583333</t>
  </si>
  <si>
    <t>Eli 293@mail.com</t>
  </si>
  <si>
    <t>0.0334375</t>
  </si>
  <si>
    <t>Luanna </t>
  </si>
  <si>
    <t>Luanna 402@gmail.com</t>
  </si>
  <si>
    <t>@Luanna 40</t>
  </si>
  <si>
    <t>0.013506944</t>
  </si>
  <si>
    <t>0.00443287</t>
  </si>
  <si>
    <t>Blanca </t>
  </si>
  <si>
    <t>Blanca 403@mail.com</t>
  </si>
  <si>
    <t>@Blanca 40</t>
  </si>
  <si>
    <t>0.006354167</t>
  </si>
  <si>
    <t>0.02255787</t>
  </si>
  <si>
    <t>Gretta </t>
  </si>
  <si>
    <t>Gretta 435@mailxyz.com</t>
  </si>
  <si>
    <t>@Gretta 43</t>
  </si>
  <si>
    <t>0.006921296</t>
  </si>
  <si>
    <t>0.030115741</t>
  </si>
  <si>
    <t>Wilburn 303@mail.com</t>
  </si>
  <si>
    <t>0.006863426</t>
  </si>
  <si>
    <t>0.0025</t>
  </si>
  <si>
    <t>0.016458333</t>
  </si>
  <si>
    <t>Michel 201@yahoo.com</t>
  </si>
  <si>
    <t>0.059328704</t>
  </si>
  <si>
    <t>0.013449074</t>
  </si>
  <si>
    <t>0.001851852</t>
  </si>
  <si>
    <t>0.072268519</t>
  </si>
  <si>
    <t>0.004560185</t>
  </si>
  <si>
    <t>0.114907407</t>
  </si>
  <si>
    <t>Emerson 242@gmail.com</t>
  </si>
  <si>
    <t>Shane 25@mailxyz.com</t>
  </si>
  <si>
    <t>0.005034722</t>
  </si>
  <si>
    <t>0.00400463</t>
  </si>
  <si>
    <t>0.015196759</t>
  </si>
  <si>
    <t>0.003229167</t>
  </si>
  <si>
    <t>0.002615741</t>
  </si>
  <si>
    <t>Bernardo 321@yahoo.com</t>
  </si>
  <si>
    <t>Eli 291@yahoo.com</t>
  </si>
  <si>
    <t>0.006435185</t>
  </si>
  <si>
    <t>0.005509259</t>
  </si>
  <si>
    <t>Valentine 471@yahoo.com</t>
  </si>
  <si>
    <t>0.014282407</t>
  </si>
  <si>
    <t>Dia 85@mailxyz.com</t>
  </si>
  <si>
    <t>@Dia 8</t>
  </si>
  <si>
    <t>0.005497685</t>
  </si>
  <si>
    <t>0.00021412</t>
  </si>
  <si>
    <t>0.002662037</t>
  </si>
  <si>
    <t>0.020914352</t>
  </si>
  <si>
    <t>0.013194444</t>
  </si>
  <si>
    <t>0.010462963</t>
  </si>
  <si>
    <t>Katharina 414@abcmail.com</t>
  </si>
  <si>
    <t>@Katharina 41</t>
  </si>
  <si>
    <t>0.002361111</t>
  </si>
  <si>
    <t>0.004444444</t>
  </si>
  <si>
    <t>0.000792824</t>
  </si>
  <si>
    <t>0.034618056</t>
  </si>
  <si>
    <t>0.022395833</t>
  </si>
  <si>
    <t>0.002384259</t>
  </si>
  <si>
    <t>0.043819444</t>
  </si>
  <si>
    <t>Lane 114@abcmail.com</t>
  </si>
  <si>
    <t>0.005190972</t>
  </si>
  <si>
    <t>0.002986111</t>
  </si>
  <si>
    <t>0.011388889</t>
  </si>
  <si>
    <t>Kyle 62@gmail.com</t>
  </si>
  <si>
    <t>0.004814815</t>
  </si>
  <si>
    <t>Dion 335@mailxyz.com</t>
  </si>
  <si>
    <t>Lloyd 75@mailxyz.com</t>
  </si>
  <si>
    <t>0.023310185</t>
  </si>
  <si>
    <t>0.005856481</t>
  </si>
  <si>
    <t>Loyd 494@abcmail.com</t>
  </si>
  <si>
    <t>0.00525463</t>
  </si>
  <si>
    <t>Cory 103@mail.com</t>
  </si>
  <si>
    <t>0.039456019</t>
  </si>
  <si>
    <t>0.020844907</t>
  </si>
  <si>
    <t>0.025173611</t>
  </si>
  <si>
    <t>Cody 125@mailxyz.com</t>
  </si>
  <si>
    <t>0.006111111</t>
  </si>
  <si>
    <t>Kyle 63@mail.com</t>
  </si>
  <si>
    <t>0.018958333</t>
  </si>
  <si>
    <t>Markus 194@abcmail.com</t>
  </si>
  <si>
    <t>0.003188657</t>
  </si>
  <si>
    <t>Irving 52@gmail.com</t>
  </si>
  <si>
    <t>0.046527778</t>
  </si>
  <si>
    <t>0.01099537</t>
  </si>
  <si>
    <t>0.039976852</t>
  </si>
  <si>
    <t>Luann </t>
  </si>
  <si>
    <t>Luann 405@mailxyz.com</t>
  </si>
  <si>
    <t>@Luann 40</t>
  </si>
  <si>
    <t>0.026388889</t>
  </si>
  <si>
    <t>0.001631944</t>
  </si>
  <si>
    <t>0.002326389</t>
  </si>
  <si>
    <t>0.003078704</t>
  </si>
  <si>
    <t>0.0000520833</t>
  </si>
  <si>
    <t>0.001840278</t>
  </si>
  <si>
    <t>0.013796296</t>
  </si>
  <si>
    <t>Anette 151@yahoo.com</t>
  </si>
  <si>
    <t>@Anette 15</t>
  </si>
  <si>
    <t>0.01650463</t>
  </si>
  <si>
    <t>0.001498843</t>
  </si>
  <si>
    <t>0.012048611</t>
  </si>
  <si>
    <t>0.00162037</t>
  </si>
  <si>
    <t>0.001030093</t>
  </si>
  <si>
    <t>0.000387731</t>
  </si>
  <si>
    <t>0.002060185</t>
  </si>
  <si>
    <t>0.001429398</t>
  </si>
  <si>
    <t>Carter 31@yahoo.com</t>
  </si>
  <si>
    <t>Williemae 415@mailxyz.com</t>
  </si>
  <si>
    <t>@Williemae 41</t>
  </si>
  <si>
    <t>0.001822917</t>
  </si>
  <si>
    <t>0.009444444</t>
  </si>
  <si>
    <t>Claud 343@mail.com</t>
  </si>
  <si>
    <t>Live on SuperSport</t>
  </si>
  <si>
    <t>Blanca 391@yahoo.com</t>
  </si>
  <si>
    <t>0.011782407</t>
  </si>
  <si>
    <t>Nakita </t>
  </si>
  <si>
    <t>Nakita 185@mailxyz.com</t>
  </si>
  <si>
    <t>@Nakita 18</t>
  </si>
  <si>
    <t>0.009027778</t>
  </si>
  <si>
    <t>Bernardo 323@mail.com</t>
  </si>
  <si>
    <t>0.003657407</t>
  </si>
  <si>
    <t>0.023078704</t>
  </si>
  <si>
    <t>0.001574074</t>
  </si>
  <si>
    <t>0.009282407</t>
  </si>
  <si>
    <t>0.014884259</t>
  </si>
  <si>
    <t>0.005277778</t>
  </si>
  <si>
    <t>Charlie 361@yahoo.com</t>
  </si>
  <si>
    <t>0.02162037</t>
  </si>
  <si>
    <t>Luanna 423@mail.com</t>
  </si>
  <si>
    <t>Wilton 414@abcmail.com</t>
  </si>
  <si>
    <t>0.011898148</t>
  </si>
  <si>
    <t>0.016388889</t>
  </si>
  <si>
    <t>0.009398148</t>
  </si>
  <si>
    <t>0.008518519</t>
  </si>
  <si>
    <t>0.00068287</t>
  </si>
  <si>
    <t>0.01412037</t>
  </si>
  <si>
    <t>0.041828704</t>
  </si>
  <si>
    <t>Eula 64@abcmail.com</t>
  </si>
  <si>
    <t>Desirae 34@abcmail.com</t>
  </si>
  <si>
    <t>@Desirae 3</t>
  </si>
  <si>
    <t>0.017060185</t>
  </si>
  <si>
    <t>Brendan 455@mailxyz.com</t>
  </si>
  <si>
    <t>0.027731481</t>
  </si>
  <si>
    <t>0.101550926</t>
  </si>
  <si>
    <t>Samuel 264@abcmail.com</t>
  </si>
  <si>
    <t>0.0000636574</t>
  </si>
  <si>
    <t>0.001550926</t>
  </si>
  <si>
    <t>0.030069444</t>
  </si>
  <si>
    <t>0.000393519</t>
  </si>
  <si>
    <t>0.00056713</t>
  </si>
  <si>
    <t>Markus 193@mail.com</t>
  </si>
  <si>
    <t>0.000665509</t>
  </si>
  <si>
    <t>0.017158565</t>
  </si>
  <si>
    <t>0.001869213</t>
  </si>
  <si>
    <t>0.039334491</t>
  </si>
  <si>
    <t>Viewership.RecordDate22</t>
  </si>
  <si>
    <t>Viewership.Date</t>
  </si>
  <si>
    <t>Viewership.Time</t>
  </si>
  <si>
    <t>Row Labels</t>
  </si>
  <si>
    <t>(blank)</t>
  </si>
  <si>
    <t>Grand Total</t>
  </si>
  <si>
    <t>Count of Hours (Viewership.Time)</t>
  </si>
  <si>
    <t>Count of Minutes (Viewership.Time)</t>
  </si>
  <si>
    <t>Count of Viewership.Time</t>
  </si>
  <si>
    <t>Sum of Count of Viewership.Time</t>
  </si>
  <si>
    <t xml:space="preserve">Channel </t>
  </si>
  <si>
    <t>Viewership Time</t>
  </si>
  <si>
    <t>0-14</t>
  </si>
  <si>
    <t>15-29</t>
  </si>
  <si>
    <t>30-44</t>
  </si>
  <si>
    <t>45-59</t>
  </si>
  <si>
    <t>60-74</t>
  </si>
  <si>
    <t>Age Group</t>
  </si>
  <si>
    <t>Count of Viewership.Duration 2</t>
  </si>
  <si>
    <t>Column Labels</t>
  </si>
  <si>
    <t>gender</t>
  </si>
  <si>
    <t>time_bucket</t>
  </si>
  <si>
    <t>total_views</t>
  </si>
  <si>
    <t>Evening</t>
  </si>
  <si>
    <t>Night</t>
  </si>
  <si>
    <t>Afternoon</t>
  </si>
  <si>
    <t>Morning</t>
  </si>
  <si>
    <t>Social media handle</t>
  </si>
  <si>
    <t>Count Viewership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</si>
</sst>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1" fontId="0" fillId="0" borderId="0" xfId="0" applyNumberFormat="1" applyAlignment="1">
      <alignment horizontal="left"/>
    </xf>
  </cellXfs>
  <cellStyles count="2">
    <cellStyle name="Normal" xfId="0" builtinId="0"/>
    <cellStyle name="Normal 2" xfId="1" xr:uid="{5C88CBE8-9411-49C4-AA87-0A135F4483B7}"/>
  </cellStyles>
  <dxfs count="14"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[Joined tables 16-04-2026 Filtered.xlsx]GD!PivotTable15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Distribution</a:t>
            </a:r>
            <a:endParaRPr lang="en-US"/>
          </a:p>
        </c:rich>
      </c:tx>
      <c:layout>
        <c:manualLayout>
          <c:xMode val="edge"/>
          <c:yMode val="edge"/>
          <c:x val="2.3152668416447947E-2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GD!$B$3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0A-4A62-93B6-63A43707CC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0A-4A62-93B6-63A43707CC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0A-4A62-93B6-63A43707CCAF}"/>
              </c:ext>
            </c:extLst>
          </c:dPt>
          <c:cat>
            <c:strRef>
              <c:f>GD!$A$4:$A$7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GD!$B$4:$B$7</c:f>
              <c:numCache>
                <c:formatCode>General</c:formatCode>
                <c:ptCount val="3"/>
                <c:pt idx="0">
                  <c:v>133</c:v>
                </c:pt>
                <c:pt idx="1">
                  <c:v>837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8-46FD-8292-D6068C143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[Joined tables 16-04-2026 Filtered.xlsx]VG!PivotTable16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by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E3-49B6-BCED-16410094E42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E3-49B6-BCED-16410094E420}"/>
              </c:ext>
            </c:extLst>
          </c:dPt>
          <c:cat>
            <c:strRef>
              <c:f>VG!$A$4:$A$7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VG!$B$4:$B$7</c:f>
              <c:numCache>
                <c:formatCode>General</c:formatCode>
                <c:ptCount val="3"/>
                <c:pt idx="0">
                  <c:v>133</c:v>
                </c:pt>
                <c:pt idx="1">
                  <c:v>837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3-49B6-BCED-16410094E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580448"/>
        <c:axId val="2115580928"/>
      </c:barChart>
      <c:catAx>
        <c:axId val="21155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580928"/>
        <c:crosses val="autoZero"/>
        <c:auto val="1"/>
        <c:lblAlgn val="ctr"/>
        <c:lblOffset val="100"/>
        <c:noMultiLvlLbl val="0"/>
      </c:catAx>
      <c:valAx>
        <c:axId val="211558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58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[Joined tables 16-04-2026 Filtered.xlsx]AG!PivotTable18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Most</a:t>
            </a:r>
            <a:r>
              <a:rPr lang="en-ZA" baseline="0"/>
              <a:t> Watched Age Group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1E4-43A1-88BB-E6352A59E4F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1E4-43A1-88BB-E6352A59E4F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E4-43A1-88BB-E6352A59E4F6}"/>
              </c:ext>
            </c:extLst>
          </c:dPt>
          <c:cat>
            <c:strRef>
              <c:f>AG!$A$4:$A$9</c:f>
              <c:strCache>
                <c:ptCount val="5"/>
                <c:pt idx="0">
                  <c:v>0-14</c:v>
                </c:pt>
                <c:pt idx="1">
                  <c:v>15-29</c:v>
                </c:pt>
                <c:pt idx="2">
                  <c:v>30-44</c:v>
                </c:pt>
                <c:pt idx="3">
                  <c:v>45-59</c:v>
                </c:pt>
                <c:pt idx="4">
                  <c:v>60-74</c:v>
                </c:pt>
              </c:strCache>
            </c:strRef>
          </c:cat>
          <c:val>
            <c:numRef>
              <c:f>AG!$B$4:$B$9</c:f>
              <c:numCache>
                <c:formatCode>General</c:formatCode>
                <c:ptCount val="5"/>
                <c:pt idx="0">
                  <c:v>61</c:v>
                </c:pt>
                <c:pt idx="1">
                  <c:v>402</c:v>
                </c:pt>
                <c:pt idx="2">
                  <c:v>435</c:v>
                </c:pt>
                <c:pt idx="3">
                  <c:v>94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4-43A1-88BB-E6352A59E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587648"/>
        <c:axId val="2115587168"/>
      </c:barChart>
      <c:catAx>
        <c:axId val="21155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587168"/>
        <c:crosses val="autoZero"/>
        <c:auto val="1"/>
        <c:lblAlgn val="ctr"/>
        <c:lblOffset val="100"/>
        <c:noMultiLvlLbl val="0"/>
      </c:catAx>
      <c:valAx>
        <c:axId val="211558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58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[Joined tables 16-04-2026 Filtered.xlsx]AG!PivotTable18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Most</a:t>
            </a:r>
            <a:r>
              <a:rPr lang="en-ZA" baseline="0"/>
              <a:t> Watched Age Group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C6-49A1-AD7A-6CB82D41F56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C6-49A1-AD7A-6CB82D41F56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C6-49A1-AD7A-6CB82D41F563}"/>
              </c:ext>
            </c:extLst>
          </c:dPt>
          <c:cat>
            <c:strRef>
              <c:f>AG!$A$4:$A$9</c:f>
              <c:strCache>
                <c:ptCount val="5"/>
                <c:pt idx="0">
                  <c:v>0-14</c:v>
                </c:pt>
                <c:pt idx="1">
                  <c:v>15-29</c:v>
                </c:pt>
                <c:pt idx="2">
                  <c:v>30-44</c:v>
                </c:pt>
                <c:pt idx="3">
                  <c:v>45-59</c:v>
                </c:pt>
                <c:pt idx="4">
                  <c:v>60-74</c:v>
                </c:pt>
              </c:strCache>
            </c:strRef>
          </c:cat>
          <c:val>
            <c:numRef>
              <c:f>AG!$B$4:$B$9</c:f>
              <c:numCache>
                <c:formatCode>General</c:formatCode>
                <c:ptCount val="5"/>
                <c:pt idx="0">
                  <c:v>61</c:v>
                </c:pt>
                <c:pt idx="1">
                  <c:v>402</c:v>
                </c:pt>
                <c:pt idx="2">
                  <c:v>435</c:v>
                </c:pt>
                <c:pt idx="3">
                  <c:v>94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C6-49A1-AD7A-6CB82D41F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587648"/>
        <c:axId val="2115587168"/>
      </c:barChart>
      <c:catAx>
        <c:axId val="21155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587168"/>
        <c:crosses val="autoZero"/>
        <c:auto val="1"/>
        <c:lblAlgn val="ctr"/>
        <c:lblOffset val="100"/>
        <c:noMultiLvlLbl val="0"/>
      </c:catAx>
      <c:valAx>
        <c:axId val="211558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58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[Joined tables 16-04-2026 Filtered.xlsx]MVCG!PivotTable81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Most</a:t>
            </a:r>
            <a:r>
              <a:rPr lang="en-ZA" baseline="0"/>
              <a:t> viewed channel by Race</a:t>
            </a:r>
            <a:endParaRPr lang="en-ZA"/>
          </a:p>
        </c:rich>
      </c:tx>
      <c:layout>
        <c:manualLayout>
          <c:xMode val="edge"/>
          <c:yMode val="edge"/>
          <c:x val="1.545123153986502E-2"/>
          <c:y val="8.62982631460552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MVCG!$B$3:$B$4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MVCG!$A$5:$A$23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MVCG!$B$5:$B$23</c:f>
              <c:numCache>
                <c:formatCode>General</c:formatCode>
                <c:ptCount val="18"/>
                <c:pt idx="0">
                  <c:v>69</c:v>
                </c:pt>
                <c:pt idx="1">
                  <c:v>36</c:v>
                </c:pt>
                <c:pt idx="2">
                  <c:v>3</c:v>
                </c:pt>
                <c:pt idx="3">
                  <c:v>31</c:v>
                </c:pt>
                <c:pt idx="4">
                  <c:v>89</c:v>
                </c:pt>
                <c:pt idx="5">
                  <c:v>18</c:v>
                </c:pt>
                <c:pt idx="6">
                  <c:v>4</c:v>
                </c:pt>
                <c:pt idx="7">
                  <c:v>7</c:v>
                </c:pt>
                <c:pt idx="8">
                  <c:v>13</c:v>
                </c:pt>
                <c:pt idx="9">
                  <c:v>2</c:v>
                </c:pt>
                <c:pt idx="10">
                  <c:v>1</c:v>
                </c:pt>
                <c:pt idx="12">
                  <c:v>11</c:v>
                </c:pt>
                <c:pt idx="13">
                  <c:v>11</c:v>
                </c:pt>
                <c:pt idx="14">
                  <c:v>47</c:v>
                </c:pt>
                <c:pt idx="15">
                  <c:v>57</c:v>
                </c:pt>
                <c:pt idx="16">
                  <c:v>64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9-40D6-84A9-721EA5FF71DB}"/>
            </c:ext>
          </c:extLst>
        </c:ser>
        <c:ser>
          <c:idx val="1"/>
          <c:order val="1"/>
          <c:tx>
            <c:strRef>
              <c:f>MVCG!$C$3:$C$4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MVCG!$A$5:$A$23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MVCG!$C$5:$C$23</c:f>
              <c:numCache>
                <c:formatCode>General</c:formatCode>
                <c:ptCount val="18"/>
                <c:pt idx="0">
                  <c:v>8</c:v>
                </c:pt>
                <c:pt idx="1">
                  <c:v>18</c:v>
                </c:pt>
                <c:pt idx="3">
                  <c:v>22</c:v>
                </c:pt>
                <c:pt idx="4">
                  <c:v>43</c:v>
                </c:pt>
                <c:pt idx="5">
                  <c:v>10</c:v>
                </c:pt>
                <c:pt idx="6">
                  <c:v>7</c:v>
                </c:pt>
                <c:pt idx="7">
                  <c:v>7</c:v>
                </c:pt>
                <c:pt idx="8">
                  <c:v>21</c:v>
                </c:pt>
                <c:pt idx="9">
                  <c:v>1</c:v>
                </c:pt>
                <c:pt idx="11">
                  <c:v>1</c:v>
                </c:pt>
                <c:pt idx="13">
                  <c:v>2</c:v>
                </c:pt>
                <c:pt idx="14">
                  <c:v>20</c:v>
                </c:pt>
                <c:pt idx="15">
                  <c:v>39</c:v>
                </c:pt>
                <c:pt idx="16">
                  <c:v>23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69-40D6-84A9-721EA5FF71DB}"/>
            </c:ext>
          </c:extLst>
        </c:ser>
        <c:ser>
          <c:idx val="2"/>
          <c:order val="2"/>
          <c:tx>
            <c:strRef>
              <c:f>MVCG!$D$3:$D$4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MVCG!$A$5:$A$23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MVCG!$D$5:$D$23</c:f>
              <c:numCache>
                <c:formatCode>General</c:formatCode>
                <c:ptCount val="18"/>
                <c:pt idx="0">
                  <c:v>4</c:v>
                </c:pt>
                <c:pt idx="1">
                  <c:v>10</c:v>
                </c:pt>
                <c:pt idx="3">
                  <c:v>4</c:v>
                </c:pt>
                <c:pt idx="4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28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19</c:v>
                </c:pt>
                <c:pt idx="1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69-40D6-84A9-721EA5FF71DB}"/>
            </c:ext>
          </c:extLst>
        </c:ser>
        <c:ser>
          <c:idx val="3"/>
          <c:order val="3"/>
          <c:tx>
            <c:strRef>
              <c:f>MVCG!$E$3:$E$4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MVCG!$A$5:$A$23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MVCG!$E$5:$E$23</c:f>
              <c:numCache>
                <c:formatCode>General</c:formatCode>
                <c:ptCount val="18"/>
                <c:pt idx="0">
                  <c:v>6</c:v>
                </c:pt>
                <c:pt idx="1">
                  <c:v>12</c:v>
                </c:pt>
                <c:pt idx="2">
                  <c:v>1</c:v>
                </c:pt>
                <c:pt idx="3">
                  <c:v>15</c:v>
                </c:pt>
                <c:pt idx="4">
                  <c:v>11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10</c:v>
                </c:pt>
                <c:pt idx="9">
                  <c:v>1</c:v>
                </c:pt>
                <c:pt idx="13">
                  <c:v>1</c:v>
                </c:pt>
                <c:pt idx="14">
                  <c:v>8</c:v>
                </c:pt>
                <c:pt idx="15">
                  <c:v>14</c:v>
                </c:pt>
                <c:pt idx="1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69-40D6-84A9-721EA5FF71DB}"/>
            </c:ext>
          </c:extLst>
        </c:ser>
        <c:ser>
          <c:idx val="4"/>
          <c:order val="4"/>
          <c:tx>
            <c:strRef>
              <c:f>MVCG!$F$3:$F$4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MVCG!$A$5:$A$23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MVCG!$F$5:$F$23</c:f>
              <c:numCache>
                <c:formatCode>General</c:formatCode>
                <c:ptCount val="18"/>
                <c:pt idx="0">
                  <c:v>1</c:v>
                </c:pt>
                <c:pt idx="5">
                  <c:v>1</c:v>
                </c:pt>
                <c:pt idx="7">
                  <c:v>2</c:v>
                </c:pt>
                <c:pt idx="8">
                  <c:v>2</c:v>
                </c:pt>
                <c:pt idx="11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69-40D6-84A9-721EA5FF71DB}"/>
            </c:ext>
          </c:extLst>
        </c:ser>
        <c:ser>
          <c:idx val="5"/>
          <c:order val="5"/>
          <c:tx>
            <c:strRef>
              <c:f>MVCG!$G$3:$G$4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MVCG!$A$5:$A$23</c:f>
              <c:strCache>
                <c:ptCount val="18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</c:strCache>
            </c:strRef>
          </c:cat>
          <c:val>
            <c:numRef>
              <c:f>MVCG!$G$5:$G$23</c:f>
              <c:numCache>
                <c:formatCode>General</c:formatCode>
                <c:ptCount val="18"/>
                <c:pt idx="0">
                  <c:v>3</c:v>
                </c:pt>
                <c:pt idx="1">
                  <c:v>11</c:v>
                </c:pt>
                <c:pt idx="2">
                  <c:v>2</c:v>
                </c:pt>
                <c:pt idx="3">
                  <c:v>13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  <c:pt idx="7">
                  <c:v>8</c:v>
                </c:pt>
                <c:pt idx="8">
                  <c:v>9</c:v>
                </c:pt>
                <c:pt idx="12">
                  <c:v>2</c:v>
                </c:pt>
                <c:pt idx="13">
                  <c:v>5</c:v>
                </c:pt>
                <c:pt idx="14">
                  <c:v>11</c:v>
                </c:pt>
                <c:pt idx="15">
                  <c:v>23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69-40D6-84A9-721EA5FF7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6132880"/>
        <c:axId val="1616132400"/>
      </c:barChart>
      <c:catAx>
        <c:axId val="161613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32400"/>
        <c:crosses val="autoZero"/>
        <c:auto val="1"/>
        <c:lblAlgn val="ctr"/>
        <c:lblOffset val="100"/>
        <c:noMultiLvlLbl val="0"/>
      </c:catAx>
      <c:valAx>
        <c:axId val="16161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3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Most Watched Channels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Most Watched Channels</a:t>
          </a:r>
        </a:p>
      </cx:txPr>
    </cx:title>
    <cx:plotArea>
      <cx:plotAreaRegion>
        <cx:series layoutId="funnel" uniqueId="{946751B6-7275-4B8E-8117-5C1324CF3739}">
          <cx:tx>
            <cx:txData>
              <cx:f>_xlchart.v2.1</cx:f>
              <cx:v>Viewership time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</cx:numDim>
    </cx:data>
  </cx:chartData>
  <cx:chart>
    <cx:title pos="t" align="ctr" overlay="0">
      <cx:tx>
        <cx:txData>
          <cx:v>Viewership by Province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Viewership by Province</a:t>
          </a:r>
        </a:p>
      </cx:txPr>
    </cx:title>
    <cx:plotArea>
      <cx:plotAreaRegion>
        <cx:series layoutId="regionMap" uniqueId="{C6209320-6599-44A6-9AB6-878D4C23AA6C}">
          <cx:tx>
            <cx:txData>
              <cx:f>_xlchart.v5.5</cx:f>
              <cx:v>Viewership Time</cx:v>
            </cx:txData>
          </cx:tx>
          <cx:dataPt idx="1">
            <cx:spPr>
              <a:solidFill>
                <a:srgbClr val="00B050"/>
              </a:solidFill>
            </cx:spPr>
          </cx:dataPt>
          <cx:dataPt idx="3">
            <cx:spPr>
              <a:solidFill>
                <a:srgbClr val="FF0000"/>
              </a:solidFill>
            </cx:spPr>
          </cx:dataPt>
          <cx:dataPt idx="4">
            <cx:spPr>
              <a:solidFill>
                <a:srgbClr val="E97132"/>
              </a:solidFill>
            </cx:spPr>
          </cx:dataPt>
          <cx:dataPt idx="7">
            <cx:spPr>
              <a:solidFill>
                <a:srgbClr val="0070C0"/>
              </a:solidFill>
            </cx:spPr>
          </cx:dataPt>
          <cx:dataPt idx="8">
            <cx:spPr>
              <a:solidFill>
                <a:srgbClr val="FFC000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 sz="1200" b="0" i="0" u="none" strike="noStrike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</cx:dataLabels>
          <cx:dataId val="0"/>
          <cx:layoutPr>
            <cx:regionLabelLayout val="showAll"/>
            <cx:geography viewedRegionType="dataOnly" cultureLanguage="en-US" cultureRegion="ZA" attribution="Powered by Bing">
              <cx:geoCache provider="{E9337A44-BEBE-4D9F-B70C-5C5E7DAFC167}">
                <cx:binary>1HpZc904d+1fcfk5dAMgCICpdKoC8kyaJQ+S/IKSZZkEQRAkAYLDr7/b3em+tuN86Vv15Va1/OCS
eHgw7I2111ob//a8/Otz+/I0vlps2/l/fV5+fV2H0P/rL7/45/rFPvk3Vj+Pzrsv4c2zs7+4L1/0
88svn8enWXfVLwRh+stz/TSGl+X1v/8bfFv14i7c81PQrrudXsb17sVPbfD/4NlPH716+mx1V2of
Rv0c8K+v7198eBm7V8VT//L61UsXdFjfrf3Lr6+/++TrV7/8+H3/ZexXLUwvTJ/h3SRN38ASMsSJ
yH/74a9fta6r/vM5QW8YzgjiDP7++6BXTxZe/KvT+W0yT58/jy/ew5p++//Ht79bADwsXr96dlMX
vm5eBfv46+u3bgr1q//4Anvx9PqV9q74/Xnhvi7i43/8tupfvt/9f/+3H/4A+/DDX74J0I+b9j89
+i/xuewn+9Q+dRVM8J8WHZK9EZwizDlBv/3g76KTojckFxAb9J/BE3+M/XuQ/tqcfh6ib9/9IUCX
N3/HAO2e/ncOEHmDs5RRmmW/HyD2XYgIe0MpSzlG/PfH+fch+quz+nmQvn/7hzDt/pbnaD++vLx6
G57CPxPliAAYo5gRSn+PAhyUb1GOvRGMwwc4/mmQ/tqcfh6ib9/9IUD7t3/Hc3TlRsDir/j/Ryb/
E8oQHBPCOM8wy38GdICDGc5JRtkPCPfXJvPzyHz77g+Rubr/O0bm8DSFl67654YFI0YYIfinYRFv
MMk4R9kP7OAvzOTnMfnzxR8Ccnj3dwzIlev+RxT7X6Qk5/PTNrXTq6un8NT+M7NCvOGEC0HSnx5W
YCXwmFDgjX8M+jsdgfl8hPkk/+N8fp4bP7z+Q4ZcXfwdM+RC29717o99+mcgafqGiyzDVKTf17j8
DVB8ztOc/jHa71H5C1P4eTz+fPGHSFz8Lenhb9Xgf0FgkfwNzdIU0T8E1g/UA7+hKEVpnpM/mcm3
OusvT+vnMfrh9R8idfW3YIj/UAt+K7W+++D/qxAGipjnLAWpC6j1LTfM3iAB3JD8eG6+16T//Tx+
Hpjv3/5u5v9/5O5/X3f+9AtKqBu734yGb9TwP37622LBAvnh1e8U8XeL/QOLTp9/fU0QiKM/7Yuv
X/Gd5fD9lv2+4X++9gLq7tfXqXiDUJqmXDAEiosSiOUMTPXX1xh0GMOMwTnDgmevX3VfaSwYIAT0
G1QrMHKyVCCRfQ2z/2o3wDPK3oC8zjMO5Ien5OvX/bHAG9eulev+3I3//P1VN9kbp7vgYcgMwfD9
7x/8OtGM0VwIgZEgGcpJir6ut39+ugMn6evn/4Vqn4ksEiI1w5aUFZoHmZHW815SHqZHslC2yph0
nl/UKdrMUKTDwmupqsz3VyneGL1gdhpsOfbj4oqU0jVpirSttytKm0nczkOaV7nMtlCpO0PpGC+6
BrXDLkV9Ph43y5qDyWhVnZG5x6GVuJvqvNSMzvEt2xBRVq5dl/qCJ2SbyioMq39qMeYzka0lFRbl
opLqtpv8tpRZPq7sI/Im9HmRw6qrg2kWKFByG9S6XKd5uvRObh1VcTeP1oT3M+8ZLwZC86VYxLq1
19bZdjyYbhDNW0SSzNwRvfX2k088v82qjqHbbGJUnDE3+KVMF8e7kuDFxr2N/eCObRyjeDet3GW+
1FE4U+Zx7tpPtgp9cwwinzdakqCcPTVMx/wyujCSMo0b5+tlChnTbGWwPEWZXNptrq6wGCahC1ie
Wx+zkCfb2bwMoX9JRZ0PrQzRef3U1s4MZb7ZeXCSbjhXvczWzpOjqQdsbntcN+PHOuPaX2mWiESm
rJ+Tk+3TRnwRkw/TEU9u8y+r4dhVckmNpkj6OKcJKVskcFuVLQtdOhT1uOh6KQPb3HZsKgjJlwW1
LCt1t+Fkrxx2ELbBUpouMuA+r667maaCFWvaMAYLjCpZailgsho2Qrdq+vr5sfXX7RRdehXzLt8e
kikPOi2WRU+LOsWWYf+RLtirh43Uy/BhCLNzN3zodnObD4fN63dpntFzM6fmQ9WbcKrmfJbB8Ae6
sv4zdkYtRRLjAxJVX6qK1r8l7m1tjCsoW6qydvO8STtUyShtVS2wEcvS3jSV4+l9WlE1PQ7EtPN5
RsYgM5TqGZVeo6SRYurpJEo+xS5bCt/m9l27uK6RDW3cvonbdquS0O8hqEmUSY0WJHmSQRqned1K
nxmYzoK1qYpcN+xxUCluTnmmx7wrbD5rdGUWM6KbOclVpYpKsGQsEdOaGYl7uk4XetUaHXRClu0T
o1gFtcsWk5Er0+Ruu25Jb8g9V2J6NO1KdgNN9FS4sNr04PI27uGEqUf4KDk0/ZT2MlAymGKo4N9l
3tYjO0NYu7xAaIzhLuk3w2pZh5q0jUTOwMENxtHkQcfVx0+rzfP5s6A+FyfEbJIdk76d9eWw9o58
GREybo+TSaszNg9Ns6vROk1yW1Lwsa9H37tw3BJv72hKG1OEdVAYUm8wabGtvino5Ee0Q5HTpaA8
WlNMa+Iek1gPddmYtG9kPQF0XPUKzgzmTFO55bCpchaJWMrcGHHk3ZbxfU55sqPODqzIeXD5rhIu
K0g+tUMxTklzYVbUOImNN+m52oLdjgE7WstKua6WqK8E2ZHZ2Ydop9nLdczNeZKO8catNmnLtGnY
JLOetl62adY9TMRuL8pRdo6Z3oo46fmzIyLuKjezO1uLh01l653yGU1PGhaNpalVsp+JNwdrErZT
aIukWAbAT5hIIuTGkTvxQePD5uK800zDzGzi/eOSLyyT2ib6uVJzct/RWF0H+M7SMK937Zqud1kn
2kOPWHoY1LRedKS176rGzre+Myk5U9x/YYiFUSrd0f2QbP1jv+XufcNnsRYoYPIlEtz2csxYKpNV
cDlums87KwJ+V6XbJmTWxeoLCil/4C1hbbFMNBR6XdhuDLZpzyY28kJpkX2gbF62w6bwIGvbLo0k
jpiLEC2vy0jUcF3nCd+xWQmzw2hUrex8urxMY3wfRhZryefYPdAODe8AAcgoMU3UuLM2MadJCPpZ
tDG/0p5Wpci6qkw7sl62o1cf57re8EXrwryLUztGKcjcXPOh4bewzcuJ2dx89P2Ea4mdmPZRwKJk
VyE6llVXRV0sKCVFN2DcH3vCxvsZin1V9gthw4FHSu/aRDBARV4/dIjHyyqK5IAUpu9Y7cfHEc3T
HgvG9vPC9V1PU78b2gUdI0/OVlFrWaf9O2SW4Wqm+ayuV5+Y49isuEh7O8diHrP1PDAA27QPR00C
mSVS43Cc1g6dpTPK3o9Yf6JD353hpbowdZ5h2c5Z+ID7nkLWI3rJ6XRtVtG+67dtK1ccx2Iat7pc
nAtF1OoiOMKKbArjLQhtd55vX6lA2hP7qJXnZ4Sw5G72qylD59w1UqYuiUmqx1zH8TBYHncDypIv
7UbQUuRDM7WyTxy9XZAbzKlf3SJXCrtQ+CVW+wQ1+qLdpi+Vbq5zrk/dMKhHhckNn41/S4ch2TV6
pPdDorsi1f0Vb8PliIfp1NS9TmTiLPqiTLRyHOtzOnpU4IHWH5IEERkqXy6dpae8ikAXvD8b8gRJ
iyIAS0qRK4ZlJLXMt1m9W3KX7aHyfSap0rFg3K2yt9MhN4077+du33VjM5TRt1l/6sloWjn0KMpJ
h+vO0+UcSI44AqDmF3ZrkoO1VfYBaFDCPg5ujNXnha04l6jthjvTorSWfTtsZa6TrpOqUeG+0S5N
z8bglneZcN6WMVFT35e8GvMgRQZk7WgrICV3eEMzf2xzHD/VwrK+9Gu9HnUzdeUcGCqTHn/pq0mv
ewA5+2Kg5F+Jid23Lmke7VgDPLthKzRHtpiUr4bztI/6qEKOy4j0ZuSS1YAvU0Nkx9Fw2S6JKTKm
+z3PQ5DLupgL26/iAU5Gsu6aJM0OMPmJSFe31d4B1fywtFEnp7b/itoTrjgrJqynsOfjuj4vdTJZ
mUftwjWlajhUYz88Z0tHdk6Pa7Hhuf0YVWPbIiAWS8ViDjFOSL5vPPe7ZqX9TvX9NWkaUe2o4Kqg
tavKZGjXVY6Y2gsVNMynakLh5u0iU/NQ7W3fdReryhaZd2t3cCS6vmAJx/sEz3GnTJIQCcy5HST1
gKeSzdW8XzYy7XxM54tUibHo9dJTOVZm/pw3pnvbGd09CpOZhzWJ9GFRdbhb8sxhWfFt2Ee0insx
+nCM0XT7ZXKfN8vRcWjGtqwaJC573NlLx2a/52JrP9uZpIfJUHSszczkkE8jAGVqr8eI6jJjzVT6
yuu7ONOu8HWC92q29j3JxHaWkQzf17x/32rUAkUW6OCaLb6QbOiLpeUvDrLhEPPWF3mWJ7KveSWj
iXdAEzwUU01tMQx5VjA/iBvSqfrUbLy6HHMOKSuWCmotUpfG+RfdZk1SQP7nZUbpcDdCNNMz75kt
/TTZe5rapHQdag/RtfWnGZjksV4FHDhPsHnvs649UG+7KzdP9OPsuvadbyxdJCiRpZXJkvBDWHqg
p7xb62s6j5NscWOcVDxkpuiCyQoDmq8DbrbEucga8qXT2XRqN+AX0i+I72ZuyVgYzXElMxOg+Ju5
nXakn9mpNxuQhm7sgDMkhJ7G1I7NrrMCezlUo0rOhNiavlCLmA4+KPLeNrXJITn7UDpRTUouitCH
hIzZl4yt7ScyTPOlzgOwxY2OH1fSkXKzXrlibBBrZPBd/5QSYc9w57Vkm5qWYt0o2lWp6sshGYd4
a1te1+XMtgoonb9pyUyvol3GA0Ym39nWhjsOrvlVQBhy23drJqvWxU5SpWc5kWnYZDt1+oyRDY2y
RSNkYjryjpdLaCZzOTRkKqbe+gIvMzfFmMREitqarKSkbUvF6+2CfrXlLx3kdlt2KxlhSSsmqURD
CkoQMna+yidu3i3bjFSZrLXqz5es4cd6EOndkKD1ODhDm7M4aq7KkFH/fu4RSI+5WXCxerpmxcRx
TaSvDV7uJ79ejqRzSuLEtDUQbVQf17pLd0BhsptUxeQwVJQ9Z2RGqWyNm24EwPCJrqa5WOxWfeLe
Cn+qUEX4zjg37maarbU0KwPQMtqRQufNYqRr2nE7z1ymB5l6Hfc5n8xj0ggggS0b31WLh6PogDfK
mmfoCxXB7phSzSkBlLuvpkx/ig3WOxea+ACXO7rriQI+YTYOkqTMAlSFOrmetqm6nkNEquiJaz+o
tBllhAKzFuOw1lfU5NOubni2a7LaCSAPKbrSqeFXuaPzEwZKuVsHRp+jc9oVXZMhJdtGjdctgOJp
VAO9EJR17zqRd49cVECnexqsk0sf+ru+z9F+6Nr2fEUBfWSm8ruuUeyEwpj0EsqP+kz7MJTYqvmt
SMf5duumXMt19fNwcHUjSpQFfDBMP+doqT6Y6JpiTdL6MoAT4eRoVVOuQ+rvMO22Y9Tj1IC4583F
oIU4C97Nhz5ZqZxRl50NTGxrmSF6X2OsTmOI69tVJc0LC01brHk6nQ8OUnFCQT1nFfMyZL6+YnYx
dxhAEQqPnmaZg1q6rUneQoIt/snlfX6rFVJ7suR+x7A4ZQxNFy2z1VmXZwZLAcsvuq4d3gpq1ccQ
BntJ+hEE9zzpi9pqqONJbdarDLI4IdmxVZ0CANFpsxTaZunHTCl7zhLfXzRphXdD6t76DUiLXDB2
+zxtNNsDfq9CDs2qD3Or9BmuprbAk85GYLRj+4Fufk6LaoMCzbvWldyCJgT8tvg2r4i/7wbuWcHc
OgOBnypDC6yqDd6YWX5bVcz1UGj7jcu0q0Fcg3sCpBqut8hFIHYMwJo6GaDFmZd8XOLTMDr6MC1+
ft/jzWYFXbKM7KoBiw+422iEdFryU5iyPj9ft0E3nzYHVwyOzQAcf86tSU+UmmHZI9B4/gBU+XPr
Iy8V8vNN7Gg2yziIL0g08dHrFvnzZRNTc+1wBn6SAKKPZGjXVjaj+eSzcVneNdHAwV2I7qQZ5uo+
Vys7+oX6t2B8qMOgF5YUM6lQdkqzwfACjdV6nJcxoxLZTCeFBaPblqRa2U4069idJRl1nZyHfL7o
pg41uw0cOHMYtzTd58qLUrsh+8wqNByUcc28a2tg4wUHNlXMXCWlSVr0wrYVTBCHyG7JuZ0Lj6Mx
e5Cn27yDHMf01LM5hnIRZL0AYyf0MqkG+85BuWyLLotJJVe4BiUj6of3y0i1kF3owPXKKye51fZ5
Cjg783UMcuLsrVZTLMdpTp6RtzXo3hSsgC1d3taNphdAUNMS/CleLJagq6TRzS1ut+5A5jSVYuz4
5ZTQ5S0PnbmClYIQS6x5ZAD1vuyrdSxGb62RFKfmahVJvbPj1u+grjaVFCKvdlu2rpdDGByXOdiM
qnCN1vvMjc0dc6outO/afFevlKACJFd7wxJtfLEol6FLzBU4gwbbNQUysKT8bNrqDd2NbR7BdxvC
2p6D21GJ0mhSN4VepmySQCCS9O3Ye1fdJKqfQLdBZs1WS2Jqyl6o3abu01TZJtubbBxCWwYx9lqO
bNjcBy0APo6TMXUzSaHMoh5CNokRQRYylRyIjfWUlz3o9urQNtxkNx7EOD0p3phQNHEGIRPyOVfn
NYnrthNIw6h1yPhFtvTiy9yEJv+4CK+yVqIA4LRzPmXjRVSW34ByoM17k88sSLo22p+oE43Y15NT
4lKBrlW3mUqV27egGubTNgNU7rdgYFRd2exzB1p5KDfRNNLBPZJN6rSzTSwwB2W7yL6hVV6uGVF4
p+C21iZjCi7UbW2bvj02OCbTDsYOe8a3HO+qKYZzOtdB72cLZeZumHnc9toQqw4ITlN2Gb0I2/lo
zEqPmVFpfQR/yPLz1lE8HdJlA0dSbtOG1V0iMhjcJygRpYCFVgdwCtd4qnJvw82aBLvKVJh6PTSC
o2RvatTZY/AkSW4a3ef2sAF/SSVbPXHHnC5MXbRo6YAkg4xC78FLZwC7XTOlQLcaOksDLf/kJt8W
GHcLGxi1/+L5Kga0cCXhYuJ6kcxbB+yYPuU17s88UvlWrHVebaVQ3l1wrJatsHVcxZ4R0FZFMsNN
A1lllt34xc4XamJgMSsC3t8AxxPUSXvcqDqwORmBIAXWSuM3e0hpTopgcuAd1rJPcGGy2sURqfdg
Y1hJ0MhPE7iHJ2sIPmfrNp7UpEypCKh4E7NkV5PxmQWiCzFND5XLJzlqMlyC/8rfZVaM17EFeiGj
4nGWLUi36yV0nwe1vF+EDTCWeBhXu8hmy890789ICEpGZsC5z6PbAetqZay7XA7IELkZ0hR1AEer
buv7cQPGEZuey2ZIfDGHZNwHutndUFf1oV58cuRxBClMgYJ1IZfGzAefcrYLYrBFn23zXlm0SpyH
aQfGOL7J/KCKSKrU7nTsa3XKfBwqqQkyYKoAgK9wB2onOqyffFqLfbYAyhrj8ZoXvI4putzGrTnW
LT9Poq+OTersjib1uh9Ie+dF9qRZyztpAeJvK6HwIaLKnNhM/alee/IuGNZ/WQWrrzyIslECELY3
7Sagdg0Z4Ffvpks8TcMj3GsMBfKkPQHHR43sYbiPM0Wgm7IuLS2cqfNKD8sX0eVOdpmHg820iQfV
Y/apbuJF3Jb2QxtDdR/7hJWgNvhzqhr+CVkNliVs7AP3wDuir/Xbda20xAuOVxi3626EFlEBflm3
s2kEqynGvBBJNe6RE3SP+vqeuXxtDgEPCEBsmIE5kby6SybWHz3TL9R07KSH9ToFQ1GayN/jru5L
bBKA6kEjMEJjlPmivtA4NydcW/HJZaIpLJjjA7Gf1z5l4DHTvty27H5iaSMxp7isZ2DrSRjUeeRj
f8Pt8gSUPim6NoLlAQdPusxUN1qsomQY7NiS8+kWONgnC4dW9iqH6rM0Ny20bySQlHmPt7p72JwZ
u11Lcdj1uh/emqDnTupmae82t97iaVMg2ia025K5P9mpSkradot0CuFybTUuutS8bWqbSDXk41gq
OLIHU/v+KRp0t4X0bg3r+9WYI+swdDuCe0j46M4by44ao+o4GMirJp0fO7xsl3paz9QStx1LqZK0
7ulB4S6cx2V0l7YTyxnOwO6ZgdeeBpKA7unrRWKd4UO+ddWVnsO+GgR+GfIAdI4L8tUCFqNkA5tO
PB2f9QjtqwFMrjM+8KEQizu6FvokJOTtHg3AtxqaH0A20tKbai0jq+aCePYAGBofp34+o21UJ23G
WKRTw+JuGiiH7kDjjyF3Z2tLkjKr+xbcRZt2YMLibC4Ciem14NzQsk5DZkFB0e4MlFtXlxjOy3xo
FdPnqVLsKmWQtv2ml2Oe2rXcYnvfowZq6qjwe9RiC72+1ZbQXurOeG2Bpdgxk0PWvR8r9lCNkJlG
h6Vs0w7gm+N7SzZaQLC+KrZm8VK3K7hh2gu9AwV7j1v87Fg9lMYykGiU2QNwAbuLussuaDcln3O1
JBITp4t+5q7Yave+NxDSZYJ2V4HBx5ND68kZi40Aj2Wo7jfTAvdbJr/XPIVOnmmGQtfMPkboH+7G
ZF3KKlpR9A0020A4Ntlt6v18CPorkKdV/7UQrNVnEKLANUiL5WIAGwEHe8hjV/VnM3i/UonuYjJq
+IDHHhe8AuO6UQscSjF0R451BTWCJ8sOVRk7TtV0ADWjQRaHQEtoEK7zrpv1xWTZdAbmIGB4PRVL
1/rbtWmyc4hh90K3RoHB0IFIQbp+T6fJX8xNa97VDsiGTNqlg6U1FvoLYA5/SQLQaecn956sSJcT
NQJME2gdlbat52JD6QTrxclML8ceUvbEafZxAQ/5lOS9owUYnT7sFs4bmdfdBsRwIm8ZNA9Li5dP
NUnyrZySUTU7FWedlpNJUC9JR5k7zJykZ0szhnsFTuq5W6FYalH3t9Dd7gqTaA4UHay0Auk5l2mt
kycwMIBEJ+YAkgdfkjS07zfVrPt06yBpB/1ZrFlVgil1i7v8NiRGAByphRV0M1vZDFtVYorAyDY0
l7SpQ5TjbDrgIAMpUS+edRMSaaEdoXZes6ECtjSaXg60bdKC9H2Q41qBIcyyusigkwas1pLrCL1X
MICo30c9gSu0pFEGxxh0mcd+3q8bAQxqWhL3/bqu+xq16NhRAZ28HLcv09adNXxpwXlH67n2OLkG
vGaHdYXSDGQ1KUeh0DtG0yD5OsfLby4Y/KRlD/cCvuvXZ4TTPKWMU4oophyuVH3brx9sNSdptzJp
SDyCQtubdcLQ4F25/McDwSWDbwYSWKQIbgVgjBFlOSUcLpF/O5Cas9lwZZtiTDs6nFmmyXK+ZhtG
5T8eCG4bfTsQLINhuI0OV5Iw3NpkX+/TfjeQWOemt53epdBN5TsXeWgkdFfUY3TAHcscNnUDmpbX
73DFsnj4x8Pjrzv2f29AiK/jw0WnlKSEZ4zDvfnvx58HkSvHcr3TXUJbqcCG/T/snV13nLi2tX8R
PQRCAt2cC6C+XXb5I47tG4aTOOJbgBBC/Pp3lnfvTnqf/Z4z9v3pix6d7riKgCTWmvOZq8OElQAX
wiKi3Tb2ItG/gJ+o5jMxjX8haw+lIRxYnsFQ94obKXoizv5kNAPeBJzkT9Ll8jux8V31bixl8Wcw
569f/teTQlvYfv7Mr395zfX8+tX5n4Gg//F37T7Ula/T//qbrlfz12f9iqRcaZe/LvVf6Jl/RIj+
SZ78J//xb9zN3+Cv37kbsL1BjJzJb4/y+iV/g2/+njT4Bd/8+tk/CRxEUkgAzIZziJxhfKUQ/0Hg
ALThHBiVID6EyOs6/w3CEQBtIGiLIIgEwa7DT/0TwqHhH6CPYwZy0afsk+n556342yMFdfTnr3+H
cPCRf1uBVwYH5i0XPGZoHXA11z3/G4MzGA5kpMZRVgtIRXMPNbmOR3EgaFzyRHHpP3BIoNBBdZOn
3FXD66o8lZZ8ym9hyXdpFHhmWy3dfO4t/IaOt7Ca17y7NHSBgFB4fFzTmvujn9FCrlE2Shp25zVc
33IS6a2OCkGvaIFLe3g/LIFx4A55txT7mHbLpesISuEl5g2UADsVD0XsNRfgSzBcoXXjBCqonFzK
GRRALefuoTZGbCAf5Kj0lziJatHcz2JZXuLB5fBmPS6Tvh8pS1wv8PNzXHXLznhFj61VWVyCWYLF
37a10fKBzjBBtq1RtLstimFqk6mFtq86WMxGjjC9Q7kGPNMwvE3SQxUqUWe61SadjeQReIq4E65H
1+Pkmu/NUhR3Tqzof1SzDAnEjvnJjhOjWzQt8BqLHNLupulZuSZBJXFN0pOwT6umdHvIt2LKPD3i
42oq0LQqwwkaqlrga3Hmqxi6G1wzOMAW9aCYhPC23hhOR0jQ05CGZBB3daP8b0XN23tvoCBNaj7n
aFjjwnVoiztIMnUZiwHvJI+mOg/WH2QW3nlU5BQNRHJUkiHExtlbUEWLPBBjygUsx2TyivzWqGJN
mxlt+0TJUzBIGF9siTOwaOhJNMTiY5jTJYAdEuok77h9LEYo5KkaBGy+cEzJ6rUn6VZoOwvH8sLf
AZ5AzW/hPPtNCGEIWkvlp7J39lJXKBpV7H3IQdko9VSZ79rRs5le9fig+ziH8lm3zU7XEQ7ZBr3f
A6th8BeDnZKOq2W3tqV6XIQv7vLBi2/QToYHQ+KOpZUv52To6uKh4RIlhSki/2kql+gG5pduUza2
H+DTmjIh0STR1gXN9FAWs3hTLaoevDlQFKiJsVt/QC0fKRoncejksfapOqix9qFJFxE4JFeiGTeh
NFk7YDclC0rwcxia91ZBUSzVSi8s7m0CoCAqt0hKsq22fP4wdPYilIhBLRNpnE0G2w86WV1t9+XY
3Dtg69umgp4T1ajWelBtD3UXhHhaQUh+Nvjnp2App0dUKSME5KB+9GJbs8T3r54jRwMWKvFzoF1z
krapX+J50V+X7rr/hI3ulgWFVFhN8YMJcrS4TJbmqPrRPcJfbO9JYEx4R7Qc58x5oR/AU4jan11u
9Y9xteO3uujr7YCasd/G1o/2pbs+ZTnyDoJVO3ioHNfpCzQLtieddBfBm/BYMPQGuDDXHYuW4k9e
h/68015VFFvXiQJbx2f+O6vRm6IQo9N20YCtoonnp2CC7m/HKIf5osxpHGT02JA2fjYECAg6+MW9
DxEDDDC7fNwCCDs0Jpx3fPHyhFFgVbOdnwgcv4dAd8ENdK1LMLrxzLtJPkDlpPewZ6OMaa8/94Wa
7zReENjXQdUDeFuWL2W04PdEPt0HPBywYYd5V5HSbGNkH4F5ieY085DtTQECgzXYjyaCQCmsr278
3BxWF7CEmRKsFY/KmxwG2qVs0Ef3U1t8wFfKi6RhelwzNKH2YVqqAGhAkZutbToY8xTCSvk6dpO/
nmKrm3OOfMO0s7bCjqsrih/v4yDfBWj0TIIzm5pMFdyrv0ItEOOO2NaXB8ODoss6iNDDDvxJXw2J
amAdpqZ19ZsJm7VP8tG2XVr2ERYLtBVQKnYcjwFr0rCe6xQK9LMoNEgD08XADXRa1eHNJFFVSg3x
hvo/EBjYEaPnG9OTfYM+Fv0habIIQifdtWopd24SW9+GYENVmycRpAX0DcVpqfTZKGGrrYz9W1ww
NKkBEAwk7DqN6BCc1uYYlzJjZXsR2HzbqML5Y1TSGv2MvijJtdkM0HQ8VSWtqC7SiIdOLK8eiU3a
kS++rjeyuaF1/7WFjTXr/hUM42Yq7tBWvRuxiPIfHQn2KRqeEnQp2zZQ4ifXF6fPDsXONDX0eVz5
jQdEB6+SB7a0JAFLsWkohCA5rAF6UNyvgZ6cQjPCiy/A2JKuZY+inl3aXVXv4HmK3U6aIYMT7CeG
TUlg9QCh5r6FDytld+iJ3tT8DFtrV1L1cx3L7dqIuErKfpzOQw331ZIbGwbgKbDq8c51XY4TaVbb
aYkf58DbjQIOcRzh7YAXQdwlbBg302i3QVSkUxQ/tjkk/HwUMuWNgQjL0s+eCawkS+Bbnchc/VRK
NUm0QC79bEmn+s31gL/gX12bKD25q6AivNvaZ/MLjtBxawqLHRNGyWK9L3O5bCAwodefr948YNpa
B++kn3dLO6Ri4vd0sqmZzc/KsmO9+F/9YT1HtX8AK+InKJRJOkZ0gxWV6hEycO4F9zTsfxDY7bqY
oHRX2FuO2qNS8xZoSbTDSUoT2wqc0Z/9WVQWELXzMlG1KdKm5R+Qp+ddAGLG4JilucnmSJ+bddiA
7pyelmHcQXg658we1xF6RzMvry0BJhUv6NS6EBCIi1YYuxQ2e10eC7/I8fLtTtHokexXixcT1Wwa
W8ePKmw21ShNqofoHqjOtuzLY12Ol7bXzxD17/O2fCXMwGRz3vuC7neipUw48yArr/WhowCbu5mT
xBsu4aJQO/B+OGj0dxsv51kXuRqNiBp3EsoRlGlrYKXicODe/DOX5iCX4Ry66+G61jMaktBucteb
x6afUslvY/mdOntEDVIktMVxP+T7QJEw4QuMhmE9LSMeeR0e4wWKZcnivR1RzMRQTzfgWM8LWO++
rLMqWO4D91ihSIGgXVlxmCd7DAzcuslMG2+GEOLP84bqKFnn76D/eEpk/jEMMtXQBtr6u9/UkKCL
I5ffWWwfYT5dy5d958q7GuduOMY72i49FtTbWvcps5Ofqn56kry408ZlbtLfh2m9QUN1hM0L2Upt
5WhlOq5rmgPInJthgWDO7rtq+BEE8/0A4aIKojPE2B1W4d62IKz48o0CjSlMfJYT1jjQ8GjJ8Xjs
bpbNhkTRibP+rdV3XfDKZ5PVA7slVH+ffeVSrMVbWq07r1RQ6C4S1RCK+ZsIqijU8ABblWRBU+/n
Wm8nVH+r8bZVO97BHwsBXESA1ef6JgcZOAAFwq2Krywrv8Mr4DEg4YWb6lWV7K4P6Ieyd3q6g3Wj
s5Ae23baaVd+VGF+z5f8CYjLrp+7kzUBWNRGnGDUDYlfiGnjrsXqUtkP6Wue8Mbb4QjLhkIftCMv
VPk3Gqx7QuuHdhgP80q+jeP4NCuAZb2RSRT9NJ77+OVaTFULPnoeN32dnwkO3L63+0q027YDctT2
N3GJc26Zq4yGw6EtHz0FuZN+L7n85oZiAwMwYby/9+bj2ETbmS63InwHzcWTuTt2xCuxgHw8cXyy
JVi/ZknCEq/WoROQ/OXkbyMqt5KBOvInVUD+qm0Gp7rfTOW6XQH5pJoUAJ6D+SWI1wOP0E1I2t9V
rN3LnGBZzJ5KaNA90euS7drj2LdJMYqtYBMCAM9AuqpkzSeZhBDVKOdHYGeHUg5ZbrrtOoPQCKa7
2NpsoagCeraPmuj5028ZXPRcNRrc97jD9IjoR1yu3mukwyhKJQMRAwqPVN95wfMwBR7jmpSP3UAz
6KhLntq8VfdDVNghzZtolGlVGHNSWpZPrPbWrK5g6uxzWYOckIAZn3SvK57kbmTDiU81FlAbrh5I
sCC+7aJuPPjB5N3keem+j+UQHXqlrg9VW7HTgH8glTbLNkT5gfcHCBC5QYFXXBxCEKidYQVB7Z+a
CoxgE9yz1fQ7xTrcHJ03ElSMytcXlEO1Rk+HZEGaQ2buk3guApkoEXe3VsFBiIn94mxd39ouD3dj
7PMBZiXHyYJODx8zzO3cbOI6t88RIPAssMF4rAyD5VZHESIBuik/BItReSi5YYUD+zuoatwof4Db
JrQ8ByXyHInqV/boQd2FlI1bU/AJiEI9iLPW4G0eq6oC6mO9ySZLZPpyb/2ZOjSN6wy7hNcFjCIv
RgVLJAnwLgGo+LPwKVebAm+7Fy7g4eGoZNDA2wh4B5Ti1fPP9biML7YpaiALcVHVF8u1F+wrokax
mxF7wN5ttUMTC+IQdRvk3HSoirANk8FVXKYkshN2dUn69UV11n9XgMYg2wYDG+5CiG4jUK6RFTsA
Mx5+I+f0J6T99qPpigoWJGz9Gqau1x8p4DskbZhlXRL1zkOUA3ZnnZSQvO/gKeOba65Yv+miITij
zrMt2JBAPTsLAD0huMQltaam4c4WnOLda0Z572DEoCIViqexUHW5AcaEzefmDsSYpKopL3O4kq1/
lVUTrAwtUxU7jmNtFZGX1rCdaljKC6oEJ3LxEbet+2rp3H5YphxaHj8aXyQfvCELYGeACM9R37Ei
3HbL6Os078eYnClgJgGCF93sbl1ynGqUr+jOkHQSewg+K+q6EXzN16CxMy4d1NiKk6D3PWC2LcAV
Pq28S2K8PnxAprI8Qgiv70ueky5lbMRVx7bP72rWjSqJJdTJnVcACUmR7lFtgjsir2yyw21PwCnH
wNodvl8Tz5uzEg2e96ZcXJkD4hX99fWbN2sCmy6n22KQOdQcGbZIRUWTpbc+l8Fb02q+pEXZN0VS
+Ro12OjnoKckXdowjeMO+2iWpfgxuBCFqqQD4LcRGZ8iAdaBDRTWBUxeUze8+hl6g7NpA/lBoP3v
+TuAUdkeZlCGPycm4iCdh4HQDIQmNveCQ5+kOP69I5lX4A1mDqP2xUmzXFqPwmBH8AI+XxkERmeD
bE2dOaCWG1/1ptsBo+LbIojmzCwr9/cEMZsLtiL5XvX++G7icJ3TfAh6cNJ4i37VWFUT3qtDp+7M
JMG2h16808A/qyTPDYWakMMRtcZXBz0x/0mJORxSXmq6wR1sb6Mqb2xKhHJZRB1oq9+Uwn+juVFM
qel/E319iHfQfLF1GFpQEYX/IjpHkq0rIXgV540PR6GlTpEbCQMeG1fUrsVOAhKSVn1RTbdNjS23
j3g7y6chz1mdtZ0MR8TeCB5KTXXxpJVA6+X5wxJsFyzODF4BlmxJPWR7sN38LkUqDNuoqNDKbYpO
b4iP6MJudUo2z2Igg7enxMfLBs9kEOh/eltupykQFzy6tbj31gnr9PM2/J+8/G9T678k4iBEmOq3
FfPftOXfR6T8tx/7h6yMFDWaQQo1l5AQnjn7JSuHf4DIvcrQBIN2IgTcf5OV+R/8mqtG6JJDQqYC
l/GXrIzJVsh2ChEFEIL9SET/UbYTWsXfFjnjLOAcHxWgybsmScN/yXYiNNiKxkPTJsYQZQCdXXQQ
19qgsNS7iaQdD+FYiFuTQ1gsRXQtJ1CYDSfIwTVPbD33T0EVoPhAagmFSLPUJLPgX5/Ka53SxtBz
0v6zfLEIJd7rz6LGqXakGbAfFDuOEg8nG6vq79I3qDvjz9JIA7l6izBF6gcz+S6+8imsvx0AoK2A
MBOEI9BToeTy4tu4/O4Pw+1cFc8rjk1G1IawD4pCjVOeBqhCMBXi2yfVUsYwyh22ZTkci/WZI7wA
CesaPFTdbUfF1jLgH0KE+1V8hw6yzUvfy7TtU7834d5rPYHoHkkWdNg98iOADrrtFX9ZmTmr0czp
JwKjfbAoNupuUTgnTshDCfrGlfx+xf70ixBe9nCCjKPTfoL2TPV0WHW384EBIA0J6U2h3/xPcZkO
8It98Eiblx889qoDH/FYZh/G06YW9DL0Z4kHAXwVNV10mmaIAbEEjEHkkwG5jT9UAZzDoDGGJR4F
JSzeyQRp05TzxhNv46jvvDl+90gALUw1DaA1GdxJdMiQoVCs+zr4AZVqH/f6EuGzUOFt9DKCm+Q1
AgvgcQKQIccQCnkyIBay9RmrNlVNTjoeLdTa+VJ5/k1QL+PW4WPHRJZQ5siKvsq2b50vnkM1brt1
RLM6fOkxIG4T+msEdrBIyYAew+Rub5S5Kz0GGH2q341W37uozS8ul5e21eCZ2WPei11M9O1Uk12w
ojcn7WO7VPhQ6reAkKRIDeCyxHrhqTQ//d4rHst5fSwn71qK0I/e+o/I7u1jH7BGzr+3cWSSCGAy
5F+xi8Y4jfR4A+b1MA/QnRZzzMsRnQNkdCGhU4PFTz3Z7lWVH1BtzwmIuA10NjwaTzwz3t0tNT9C
tEA9nM/5g64WJLmAFkHp2dveTID88Wj7ICdHtrqbqnbZYI1Nxdzed739ohcNEXp5j3rGka+gN0HL
XogTh2gw0YVNc5yifHj1Rw66FIZP4HWZJtHR1R9ENNk40bfAgLKNpnz6IoDfQdnaB67Zs96hLIhP
mm8DWU+XQYDdKie60WvwDPDspqRsKwYNLTGGswJTa9Pm5MALepgEu3RVAfaigbgVn1Xcv3hEbjtX
vRZOXClqSHL6K/KMG0rD21oOb4XnvgTUS9jk3U15fQP+7FQ2096ZMllbdcnpGRhys0MX8bMGDAK7
q9Yg8ce3QPdZ1+fx6zqA2qoRcExZ13n3KwYghqR56cEXoM4f76Iu76CkAVFypT9lgeC7oBj3htrt
XzwVa8mdXzSbaA1A3neAbSXoMJnZQp8mVh6NLDYWaCP4fBTyAb8ZObKKXnkoR43br17/gq6G4FA2
UY/caoUmR966AJZIdVuV3mvo6Yui/CZq3e0oC74llGR9eEGCIhGkRwoQSYJxGL754XBm7XARiDbm
I4G5ggwhkiEpBeNSESAoYIxTxwVIaXMqcXIOOeiPHma5GDPUTwmBGJyQ4Fys8zOdi4w3c9aVajt2
72vZiSNK4WfPDvdzJTJUhe8evBFwWRsPOULPf0S45VtBl6yq3pEL3McOIZP5+UqEuRrVUgAltB69
RBjUTjRvfqyrDp5ylX9r5BuCqmlTdZuyWY/Co0fRkR9+RcYUmNO+EcGh9yaQIjBXAJmRsIaqaB4A
qj42c3fRFZioqDubiOLg7O4nZKDNYnd5Jy51dOmX6ch6lqlyQL+Ke0L0HYEcOkXDsJm8Q8HyL1co
raLNPkTWvx5RpZFdHow7HcstLJ4rWxJ+Ymq8wNSV4quE0dBNIXyI1Xyt7AIYzA4I8mKHX2UR1m8B
ER0XdEp+G2XWNTshurcpzu8lxkEKpJhtANWw9TuH4nei+c44ybDwWDb1HXiAaZtTBWdvZN7JtYQ9
IHXnAaouDw2HjGS6EyklCMNVnWrw0aUJHprxDt7SISpgWHE0qBSbf/E2RPhnDiU8n5sLonOvdrFb
TJb4UYPt0jnEl094LucxPi144wBg035RT7xB/tksxylfj7E3vzhMIYDT80CHYqug3/Z1dSZxiJvK
MtH5x7LpFDThkXK0FPnGa/nXXNojy3+sPo/RTCKNNvk1RLNu07sXghaxCLt7WG834Huf8hz2WL2+
Ecd2IIdTXtUQxIaHwsMr19Xv0zVyxRVio2iGwUyNlAL1gZzNZppUYPZWne9Kv9+yfNlgl+SAxU/o
BtEn4ACXurnPwxGbkJRbZ7HKKZlO0JfKJFQFOUkkGj3/dmKAClV9iiBLezW7Wcf8xCa0qEJemvFx
wBNQOIUQzPo6mHFJq8XsGTAP3wwHi3EHKKseqy6OkVPzt/Vab1bkQ8oS7rWKz7Eu3myOzNTsb0uE
BNHGxZscO0yNCyI8UNv81tvP1HucF/aK85MmoblAAnpDMPHAWkGwtpZrcf/xyRaOYOdk5V4LYXRS
DONeLWqj2Yr6IoS7iTwmdADWPYFRy8JomLK49MfTigYl7cmy40YcfPFjbvrM8wXLhij4MnC6m6bx
1IWobaYm2LOZxFvE7d1DlwcXYkmC1MRuEPgZUxA8wBzY/pDKCEcR8K2BkIRFuygv8M5Emu0I5v8l
7zBYYJkOfwca/UqmnVcf47XcGm0zf3qsVwm6moB9xhyA4NabvCxSJINkgjgKCir8Y9xshh5fMtDx
lpYoFJcDpC1w0ztl0OLCpU7WEcKse5ogExOk3qjqoMTqgzfFaehZJM/r8DR3xT5YXDKSi0Pj6ocf
yPQlnQLGp1e6A4X9Gokj3stZF9ZQ9OnBhX6fdMGSFARruXX9mFWIqPrJUMpPupL66o06DU/lk7Ac
LClgbdg6aSfY7RBtiuq0WIscIRBq3BSswwghwKnYxO13fRWElqcJSTiIajFkrDgt1wokxzVSxdet
m2UIywzAbzorVMQ7XrX65MfqZinIBoVEJiIM8dDlV9HiZOibMwzgrGdwj2w/IbfX5sUXyDQ0KzHH
4uu4VOYSAx/txUPbMHeW+Tycor/wTl8X3zFO4seV8AQVsSdNdQKKCp5cdM+xwKqGU1jSZVPDZgTE
6FXKz9BMgH0tnVjCDBNaqjaTsPJxxsRe52ftWgR2qxRp8OCi8C7GOAIQBr4eTDZ2MdJyQclRzZRW
I/E0132zIy0BEVePFYOYOSHoFKCAvH6bMlEyIMcIbW9Z/I8wrkO2HaCckccy0gtsxaAoP2JRmfJo
kQWPs1lhEkg6TRaTO0qbz3Naj7Ic0VOsMDH2nJBJwaVb+Xgqo8h/BJTLGGDzK45Kfe4hQIF2nmwg
yyADgkgFkrLh2KNLqYGu9FnprUv7RPwFJ5RxkCcQA1z9dxd1hXcrrfOXbBhW8McKhm/S1oQ+hG2H
uAm6CHtGusf9JIul2ZzTbt+vsDWQeEcYpOH04IWseluCqDtCdugerQAB3+ATDhi+gCPiaht3K0p5
5kS76Zel3/phiSqTrOUuDxFAhKLPv46sGrcDkNc7DLqjh2Ysuw3vG+9RLgzjLsKuvG1ID1EuYJ5/
NKpTJ8sbsasYctgIMwcXSG3hq4RltKNBgQ4HDsny4IsOX68KxJgwQsRDZSi6edcFLUYkFBz54RUc
DsYmrOAhAowtKRo4Mt4S6h+VGOJ7WrTjHpUSmOTRjyAvMxUddbAqhI/AA0jksDe6EhFUchvEN4Lk
cm/8IdZpM12x8+uoFOBEITo6AAX3rWP5I2WgLJWA/QzECcBKOVvxPMMu2k05qGUomWKDAQa4rHDB
2BVTj3oTjoE6GWDrTYI8vXr0Mb4GrYYUu7a17LSgoH80MW4ta5WXxsgD4Z1TuM1nBpMLzC4YlFYn
5DHim1qAIscSUCeNS0fiI27hrDjQAAP8Pg4z8WZohbrr2jF/HmtEKnIP8FXdCgRlg1BMacH75YJS
r4XAOqtHCPQYc5GP/R3cbgFtO9Ie7FosazUv7U9M9oawNxLBMMABf/5mvPZDAawfEK7qY/DF8jCZ
aN7NM76Lw7zYlcziXV3iDg4dHiKGC5W3g5e3G8aaIOU45y4AV9WBu4WdMGTDZhRrKgFmBrFPrPNy
AW8/f69702/reKne1q50mxyF581Y2PwRLxT7PRDVT0lA28jYzjvr4mU31yFHDASRIg44+VD4cyET
g3FP3+XaePlXp/vyi2ENfrjCgbqLBI69LqZaZWVpoNrm9TjdIfxRYY+jWYLyWHS8OA2wNswjkq85
tgEupUZ7tGiYmBOyc7UU12/xnd8eLSrYHx7GQakUyX5ut2a0DfyRiAFdCCcfVxY4tX4Dgd5XGC2i
S4F86pXCb4u++uZacH+3QEJbgdoSNmudI5JxIEJDxOWjH4BPXqh8waq3bou2UIJxqWn8UmE2w5du
CX1xEnO3vLczRZ3UzxZnSshaCNttZJoIxMLigkQqPv3UGKOlk0C7Jk8MjPwLxIDgdcQT+bFiA9j3
ohkgSftF8drnefwTh/01cKlRDFiETM+I8DdHnPjBBSNHEAYM/QVjkUT3WAk3G8wdcQznp5zJDsnq
4tYOzXyulBF3zrfqRDWyq3h5zipbgK1sAzMtUdKXLTxTkEsoLzGoBrhcG7P4pil8tq+qqSwSU1Gs
hsZiHBGGYN3gMM/fMLZguTgpxHOPD0gFZnk8RsyoDIOiVMYgvu90gDkirRPNR92ExTsmmIlnzyzL
Q2d8vEhatkb3ZRn0H53f9dsxwGb2p7z61nqL/zVs2ggNccsKlhBsnZuh8ty9DOD+JMShcdnGfHJT
htli/R0hCBglZb6Ki0U27A7eAb1zGEBzz1sEipMcale7nUG2PWB6GerTqsbhXZrF9zDPZ8CqgF6G
cH0zS4rTEpxRh7C/R7Trgdvoabz1WLS2SF0E9gsQzBp/zFoW0UFXkV4xfAOByC4js7Vqqxdm3W0p
wtlLyXIdVVbG1FPq2pYidI4NhHaddiT8ggQLxBThLRNcfVxAAC49gGXA6DRcJ584TKtpRFR8rHFR
mxQJXPhHM2KbLilJXJwKw8Kz9FZfJ1FcoLK4uiIdHAdeLmm01NVLHgQ6BfFqedqBV9tiJlP4ziXm
Ifi5hXkDhxY3HZKg+94E5bRVcBa7T0TqCe6gfHVRAa6qaq/zzPrykbW2uBg3w6JdYa/ycxP304L7
ZHDvilL4+V03cu85MiOdUs8wvFaX5WoJys6pN8UrXHozgf7aX6OaNqENMK5RX825FcIVZkKsENX6
HPn5CS5euHjs0aytYGhiAgm0gcHva1D/808TEA2Q3BQIFzAkMT+qq1dYftqG/tVBpLWPYhJ1+DO6
GNvgdJpQwTbDrGC8fZqQam3YzoUGzmQMj9IK74QXuLqNPg1MaKS4cqBPkBSnf5icUpMXjBSCZxm6
EDZoeHVExbQE964mSD9/GqbLp3mKqUnFpfq0VEPlwV6lc263MXFA2TXc19/E6H9jX/z7EAAGA2Ju
moCG/K/A8P8WAvg/g+B/MQiu4j34c9zX///wx9//dwS/PIJfP/knfR78gfGPkQ8/ALA4oHGI8H/S
5zEGjIdw4jBwIaSMhZhY/dcISPpHjAy+QJQapWoYhyDh/2kTBNEfoQCTjr/wnz/J9P+APqcRvuY3
KwztLP5nDkh5MPgSccRjcnURfqPPgUmEorrmR9Qaa2RS7dBjooJpIXVJmw9lNrYM4j/uVosw7tIB
4fSLGPSgm+cKbLWuZHmoY1Q94CNM+DKDC11T0Jfd/2PvTJbjRtIt/S69RxrgmByL3sQcweAsUqI2
MEmUHDMc8/D0/QHKq8rKzqp703rTi7JaVWaSooKAD+c/5zvtRrU6mm4gSPq3Heo7QzA7JILVc+gA
dTX50+fKJnN2nVks2T/5ud8Np3Hs27DINPuPKLw3qDHLytjAeDllqYyPlXdTd+ZUPNZTVFsfY+b8
6iqq0nv/16i9wqpaoEx4DP3p2jkPTvReEGUjmPbZd3Hu2un42Y0n5zBA5Osj2Fb12Ff4ZFYg38SA
fZAZ44RA5j9+kvm6rmTckHX6+Seer6idprvzuQcgACT2GO5sBtPk3d2+Nw9tEVnFvs4geewSnbr9
jsApcWs8/bl79xPg58FXuG+Ymg9sSxCe+ij4jJkvZH5gpCbOaqA9+1Ka/vwtx6KgLkndMbXZ/vdg
v8T34mvjp36/DUToHFbE38yPehmjHEhEAOevbjt9gepwdvAeM9Zs0HpACk371lnQf7WYc7mbMSmg
ReI1QE1VAcOSP2IAI9l24yk0E91eop8swKK2hnuXm3eKIr8AAbl3RfoN2F60V4P6hEu7ZBheFkV0
LqsS995CLIkrTHOhmny1VWHgzI+YnyJOAxKlN3QUkp3pzvrWy6d4PA5Yo/0dBKIy3Jc6dup9iMes
O7MVZR9hemY3wm8wexhDlL3Hw5A5m8AJQxglFf505F8LM6ACjzVUEb7apHTEwnUqMMPLVMPS1D5h
ZEAuFs9/AIUx3dSTtGymRqp9LfqegwsGFIOJydhzxCFuPCKDxu2rKUp2janBhXo/uCaaXmor8A6j
BXdlw+2COS8Bfnnjj3Vk7iayoc/12Lbf8Pw17RZepvF90rI4TpUwP0xNNAd7Plsz2lqBjuotWYVq
Aj0RV8WumgyMKqoKxDczTRFKOj1B/kiRyLEczh3ePAUrDzd5MOJOURa+O8y+0/Ad88n0XIN2xYdp
RS6OyrnzvsOX82Pu84XEyVkWOr21qyJ8H4txSomgqMbjTATTA5teM79PbIU4WywTywkGAPke8uGj
96iRky+5UMBrntPpswKEMC0LTRXfVLabYSdPuXWdPXtI5rPwW3J/JO0CZBOrnbmlDRMnqkkATtkG
+RRdeCd1cPG0dj9hQCtESQZ1li+TZWfJoSOvWG3NXpCNV5p73FaMxdxibYhBOilRd9bt0M12cRwK
0TAZsRTWCBGq4IcI3Ko6KGEP9sXjoywYWs7gQ1IjqPubPLfC+aQQlt6dnA90H+d+Em/cpCIfkpCP
g7LgNNxths7FUAQtzAalq2G78pHG2LeBKfDthwKq5kLj4IqjSsaHZ76NMWFA6mMH+0QSwuB0ew54
Lq8lFs8U9kPOrPmHOcWmQJVQ6pAZkfoCBtB8H2xdY7vro+QZ/5YoHiJrccV49hxfgyrNGyL+1ohX
ZUZQ2lawZHB2aAA3uEmM2tr4scsK0M2AVs+sx+M3PKGuwB0ZM3hAluPehT4T++eQ3OzXOTKCbBMZ
KkOUihdNbXZiHz1jXsagGT5Vbv4FqE34uba6EVEnvoBK4V2CIBN+8WA2GafRjR0AWonf3rQlsDfV
887sIhHOGw+nDgnvAVTCARKoizRW5YlNHNmP1T7FP+JuGmkaaHw9jzk8IZsrM4+p9R6rvv5uqhzP
+RIpgLqCJ9s8JJYmUDAHNZdwsIgeYfUqe5euZzJHDnLcXbx20DYG0KPy1vQr3otoHLzHnktfvk/U
MN84MhjTrZF12Elzt8wv2OCz7kUyv4luNdw2iF5+F31IPYWp1il5r/YxsFosl6nBwCQCAYtIyKJO
fLok1yVE9ap9PLtWWCI4R8EPiQGFaWhSlF/dthqALGpLP4OkIoscuNMPewqTW1wjMzezSDlPyao/
8QZaR6NfVSkrSYw7jzDt6+CFgAvBIRCkJnje+rd4Tia0EoGc7wAH4vXUw4iauYpg0SqI4ddFHHNW
oWxmso+Tt8xBA+hVS5vS1n/h2JBDKFt0NhzPi+iGRIAC16xqHOsDyly/qnT/Maj86560P58ipfnv
zp+/ikn+6st+eVSQO0yOkcRqfVKOnP1+P3z6v1lwfzGiCP4Dy/XIJP46fMKXx6ICZ9zHqsIXcgz+
dfiEP44KZZoWfHLftK2/xx+X/3z4lJbk21g4wggaI2N41p8On/AlrDkcNMekYkKE4HW+FwLtB2+W
exWhne17p6ivY4/KEPppfOwnD3muRATMzbzFjQz+bUoF4qOXBOB8eN5Fir6cTslhWt7Man1Jm5yo
wq3pmkX3ki3vcdIppgFlZbGdGWgTN9360uOp9R7TMGQpcBJ3kLfTukR463Ihm4qlo6v99L1Z1hNz
XVrSdZmZ1iVnXJcfa12KPIJL3yWiwzsH2kXdM9wab6oElIP5fVnOunVpI1HHMies0W+QLycjPcRF
1dfMEDGYK3SSnnN1ZZzxoHU32YhzCDmry4yTUqnxJZWFDSWCD/qLJI6ibsCKswjHfgBq2lwXZ3NZ
p6t1yY7X5dtcl3IMZvVXFfsKXcPCSLmJ14Uf6TiSOEvS4k0APu3PjdOXF3Bk4mgJqzgBPwz2kyzi
o9kijYA88eNdk5Xe94GpZbMpgm58glxjfg0Cxa9FRmX4yr2DS7T2gxmNZ9l7Jmdx8E5yEuxJdsb+
VDCV73do35CRp6qKr67Nd9kURmw+SUSI4NQMDZu5SEJsiR0EfYuUgcmzUrWObDZeJ6v+UOMeKGBf
cj7a9mEfHVPmbB+HkiTVoeG+cuZcoiqowJ1bbsxk5AARIX2/RbbdP0iIdcU1TCzc1aLlmWOLtOs3
FwxNdyDq2AMb0Hkyn0BWZuZhINfubmO1pKs8fkXz1kmaEdaU0bfFdlABRxfYmZl/zFUPvFdIIBMb
lUat+TL1pkjeYQZwgOMZ8RBHmprxVyOM1sFUK1PrgeAre1SZ+XFy8Lrer4niTaSecpmTUI9thyls
kVoR83JcL/XBD0McT3y35S8V+RwFnHAYIBKFvoUy4+dM60OjdME+esM9srfgZ3VSea5XMRZLG4kD
SLPxNnGZpeyKFkxJmBmiPLaLnjsuyq4RZfHBSHtDf2hX0XfVf/1BhHAiyvio5pxAJhJYjJOi1W9G
wICjSvGLiDyb0O9yY8sOYn9kNzG/xvNY7pJIlGeCASXYXXREPVaIkHNdxnf/2Uz+55uJ/28Nj7+a
c/68mSxf9ruSYf3mM7oNJIs+KkLwD7+j95tNSZoLvghVQvryjzF6sXZZ8E/NwLe8xdP4j73E/c1m
b8Jw5yFl4VK0/47fMbD5Af4kZGAZxNvBa+f7rvwzGqMltQDTkPl2ikeeoa0cpLW11uWiXpeOxpIq
PJXLiuKti0uOJsvMwFJ2ce8s52gHzG2yI/1tvefLObtfTtxpIJfDt8iDHzmjfBS95XReilg0m7yX
HNrTCXLUFksXh3k1EPo8++shf5hKDoi5ldcVlirBRcAol0tBsF4Q+vWyMPmkTreFat32YFUhFwoP
VjSehqIi/gC1fX4P60iZp2S9isAYBsy0oOCKrWEt1xUG/9wtID8GP6z1QoNE0GIXaH2nOBrWculR
Id9zG5rechkaExwuZlUBOclDyYXJc/08OaB4y5dOBxWrR5XY7qdhvWoxbiO2RSgu2cosZSCfrBcz
e72khXmTzQyNl8tb2ju6Oev1UlesF7xhsrnsTYHQ5269AoqqYCDBbJmroZPU2FfyJiURkwh8pMVy
jyzWK6W7Xi8zqwS5iEYevmPg5AJqrZdRf72YFssdNVcjE61mvbrKNpqe5+U+OxAkY99Yr7mGWq68
JFm4/jYjfM+N6CRSlxmWjOcNzW0ZLYN/DAidS3SoQ9Zjt41jZvQ5S+t2XC/dBHytD16dlMduuZNX
XLCZxy83dY89/Vmu13eva+VN/vNSv17w8TZy2R+CHHcDVhNjvE8JQHCjW7SBZJUJ3EUxCFfxoFyF
BLFoClBBkRfCVWpQepEdqlWCaEjmVbuusSAzM0C0WyDAqOdsL6gXmNERMlKnCQf4dZiRklXqUCOq
B/EApliT1QN2XVQRUbFPnpldI5ZA69HhfrBsTVp6FVRgGujbXIzILAbsILZwPtzHMjM8eitcMMbb
1nQDHAVEYN3TCPpWHdHjBiYpa59D75AKLSjMAC9d0/LiLQ5BAhTYiLNCbjNj6ONdtFY8iBy3TRRx
u94N2WzcDK4LPEmRlxGf7ZxWBy4a3lxltzzk9LGIvMTA0Ah/U2RFvoej9ZTP/Z3SMSnPxsaLH9fz
k2XXnJg8ay8bUrC8jgk3tRzTzgSOqwEx329djCdrdUTpV9m94+rjVA4je3z9PkDpIOANor+aPiA9
dg4gg0beOh53xDL50XEy2qeMUrfZOAELSgiHWq1xMKFTbPxRfQFUGmzXEKSTYm+MHPlsz5KAbiU3
iIDGTabSo13F9cdUk/7caivhwAUCOt6PkpoFBW8rAPDwNpqYw8aSaZ3KAQsHpgHuz8ZPDdjtkwZz
LA33NShV91AawV2YuwddUlYyDX1+qpDfttU0fjdDg8xM7945Q4PqCDRa/1hLLiZmtgYIB/S8OHbD
y2R7cqkSoe5COzrbDUNk3ZEip9Amq9WbFXvlWRO13IqiC7dytrtrQO/MhFMsNr9MSfmFIT3eJssw
6+ei6WC0yRwYWuGIm8kz3qh74dbr9YpRW+5Df1cKTc33nxK8ErjoAkSfqtfqEjkYVT2S4spqzXej
ilOMugnT7IrwNFIyybBGQFs3Mp64OBjvqiwZ97KChKdZrxk457yRCCPCvp2pwXnGRsSrnbbBXTEa
sMFH8aRC52XW6YsXchjsl84NOJTDXlFeyJHI9y5L8Qa9RLf2aMntmPgEZUvxnM3NnkUQk13n4ZqU
+hUMfgtNu0lDWCJciIe0vBYYX/kIMZABJo0wc80iAyyCYS73q9eyBfQi+NxSWCa5z3LDo+n64CVC
38HkFzKXrOx9XSGfx8Mc3KGB++/IWQS2sBBtzRAOiUUkUiYkoBjkL/tdeYmUJXZiqp+U3z7X6VBs
Z1w/e1vm+obBOly1RZvx0rQ6yr4/DGr6FJAf2GjLrS8VeWa0K3ntquKJWvJDmhcM5iorogoougty
h/l0Idg7wmDT++EX3q4LW94HXzoDtTEzmubQh0TRAOC7VfkWdXAG1fhQReahC6yzbqLHZiZxOSWk
oe3BAjQPMATzwE2Ev4LAI6qgxV/dSQe1S20zvdRyWtKz9a4fw9vKRhX2EuuaF5aAnwlK2MafvhtV
cwaRnt8m5jCfZ4VNo6ywHlsW4eJiLh9FXr8vlSV1LYYnNBp7E7XjVQb2o5E2A9er3L4aluOgeokX
SyHTMNU/wYoKATG72Qkb3wLWIQ6Z54jnNu5BuNuXJh+nYyXBtHvabi+zFoT2KhbMqpvP1FCdI2+4
1i6/9qqX76MjcWa15ZtqIzAx+BWAEnb3PYbmF9/kJSHn5xOXEtUPCVb0pW545y3AjLgbrRNb5E04
mRS/RAGD11CO+DWa42Qq+xRO1bdIkqbX9j40JpK+bR9H92t/ijWk+dlAyt+qLL01qk4k4Leb85zV
P+TMDxLPpnx2m4lmI20v3pHT7xUrWfOxjf27IudyBkvzs+Myj0aNa28w8/bnPE+WlgfwnEAh7/h1
D6QKTby0fkfAty5JfsFLt3Y/+1gwRnaf06HDXGAdqUs5MAkGU4QrfW+O3oHjkrvxiwHv56ROBsem
fc5lFsPVn9pahFk6+4XG/n2tbPE609nm+VxvKq1AGkMbSQxvOq7dLbgdGnGtW38fzsUDUF4KSeL3
nzUu7cCTQAMVJljWMdajE88HsZbYVISEA3P3h2IXv2n29IEILJ5dc4fKovfd4GDq1GOhT/BUYBdw
c5xuqarxH20Mxte19EWEE4dEnmnhqP6bm43xtoTv/zbP0LF9kOV7/h6Ynkx0uOCrZepyGUnDxUhD
lfDBZZW4tnWRb8eh2JXTfIY7fWPE2YFP/tvaGgPnOj0wfYL2qpJLge1uB+nz42CIl4UUeGzApB/4
1/25CElcGFDVjtgPqKnJrKvt43Ow7KtdlCjL9+FYZXhis+6hy95aGzNBAQAnpERiPya8l+18/lU5
kwbQgtLxstwS6+IpiJ2jKADB4tw+B8awZzqwa8faJqxNljOhKGJC5SVE9bmPtP+YSlvTHtDcN5y4
LfKJG9u1iUpzM/46VAY0/bD2jnNmBiwo7y0FNTwiTXEbNd8wrh6Vns6Tqnd1Zj3Lcr5GI81HpcFo
o1rKwfL4IGvpXBMhcI0sTTejAnWY4RsDSqU5HkY32qFdBL8IDJtk/sLPRJlAtzFxcujJ/8GRfF81
vMLa28HwPWQ1EE/y+Bvcc+1B5zYU56r1thTg7aMFqEHoepvbbXdcG3OipWFmatQ3D/GWtfSxwFC8
NOgQAyQeYrl73fU30lJf62KmHKkfrplO32oR32d9/9Ql5cvcuZvBCb/MZNrDwX1nAHFXAt/bhOV0
FEnwPhgP3La7yxjn7YMc6NoZx8ep7Lekt6fdmLVHnDsUkNCBtgkJMT7g19pwF5geJqZbeZ/eVL3H
jNNprkaAP4o06HYt6XHJ1eKydYnIU9TDi4EQM3ucZbQdv8Zupvd+E1CO0AnzZohCegfYYD7+bOwx
Wl8ftB4hrc82NTkplJlPbW4GJypD4Jm6PowIt3blLg8xRmJsLfZ9GCSnQvvtqQ3HAwLbjR9emOeG
RCgwZ7H9fw6B9dvzvqU1BFrX/ZRFzL/yTaYfSllt02ZkckqmbWj8w6j91z9VAEUWB+/FWEJJC6nm
FijldB+RxJmX7BKVFUeD+NMjVxuq8+rPqfoSNs5lOaf2WD5MY5HAJ3W2i+TdbX9gwt0a9uBdu/bD
7GZ4gb2NMZaPMuzvfQepB7Y1hWvmzQT2nmoOc8xP4CiPEjdO13I9dCEeAejeJHBFDC02YpKnbPHT
hBHTMZFuZzgdKbP31PvRI/MsxRoY3w99MzL4GChfO2mWBJncsSRBKQ/G5zAwoXM/zBQVkXeIUe1u
3YKI25DBMSS3kCNeBe2hwFxLb08MsnTTEDjdtNVzzQFrYMzssqMnmFgFyzDW5+3UffBA/We+u2X/
JDgtcNmNm7m0+i1zNZyb4uBbzR3NdvdC3rJUbZI+vknFObHfvQlODY1IY6fn28Z9DSOSGsT6tlG+
oDtvSRgfY0nOqhuio20bH0LP3vGN7Fq9jCZFKgPIrK9dNHt7mEl7w9Pbhkt3cB5BDnF85/cRbhpz
ag6QzCNmQzRqIPBB/Vk6lug1ql4TeK5b/OU/e5ZYT99s/tBAJe86V6e6+QpVk/DIB9KD9b5ZTtN6
sg9NvCiIdX6I/Pw+thWNXdVsP+PSSsuXCLM2Ceo8JT3RhhpolyiqzOO0mEcn3gGCFFkrh/qYEXF8
i0jmg2/pDcAko5mQkTIjQNWm4Q44u+zY3o+ZpELDxrlmX+wi9cZPCGAgqu0ECu6GxHllXdPUHj9H
jEl9ftiWF3vyCiiYcWFG/Q6DIJjiuBg4a056Ycf6Ko62SLxVuAcMywzXqnsQFIbuPLyBqgBNbzPj
to4N3X3YHRILi0ZNr8KjVWO1vWkyRQbfhB5c7BjJtwfEDn7rJU73T5A7Q5zSPO+0DoTQ2LxpuR47
GU+Np6V8EWWR8/hP2n20OhGROFilWL3Ksv+R8P6GhIew9q/9SHdLfazx8XvT/gVJk6/8fSQkCSfb
ZJaFQIU1mcX/GglBwxQYi4gmc5JZZkJ/GAk5v3kwYBn7BC7y3x8HQvTbcuJhWsQYZxkleX9HxPMW
09M/i3iuZfM//hwT5wP/55/dSDOUxgzCOCpYZglj35SxoF80g5OSDGn7lGMcyQ9xj6wFCCofHyEE
2feDjMf7qjCCBzM2sIaWuqrgBtVzuzNpFCoOQyMwksZmNT/Oq7uUMQEAkcHHu5Et/lO0DeAWZeg9
Qb8MXiWAoV3GArgTYxRCzYhK60dR99Zd2VGAsEsVMrahbVJAMYSv1kicC7IM+68Xu1+0jFDmp7E/
IjyxB2HTgfbkmC6xpWT4lGHn4HLljE9umDMYgi4T37m48MHhMMHZeqkb39tV4FzcxfpbLCZgJfv4
dsgMnMHMiMQeDIH84Q199GYNlLoaouuHL2xb3vvc+eKtq3X/ABwIua1ePchDUnU/hM6J79EtgEu5
7F0cy9XqXuZuzBkhXEzN5epvXtp4X5wwDT5Fq/8541TIbYySpU+Q+O3pkFIBRyMiRvRi0fb8XQwn
JgD/tXirO8fGHLk6roMxTghVxx6eW2sxZdvt4s82vMWrneMkJlW7erjD1c+thkG950ViM59bHd/+
6v4eFyM4BUzMeiCVq3Af4yvpnkvX9aMb4XB93zALlCSQl5GGY2fjPbIHg45pmXmIfhBA3YeYhFa8
jkWaAQwelSDLuKRaRyflOkapUDILEEQjjKyMM0uHaaLyasJTywgmj0zGMTn9YNZDE5pLVunnyKbI
fEAxhaKFrvIqN3lXnu7NF+IDjHuydfSTzhRpwJhaRkJwPoCM2OuoCB2YsVG0jpCUOWCnaWpVcGem
MHE+VWY9cDRYx09ymUR1OqVTFI3Rr25kUcQFkVzmVvEywUphXuOGWQdbwzrkqpd5F1gPJyTHJqKP
SSAiKkPNiiQ4LXeMyWLO6Cdy+hzUO+Zvz3HTyxe+mJU9atucVpiAHiB3WfrFugvoZUMI45FjS7Rs
E/O6Y3AsZPeg02zZSZZNRa77S5PmGGH5Udh3Rq6Q036OMtc8inVv8rAIxVBlEtRHk8q/aFuue1ll
5+V1ct2QhFgrVL/zRuohGAgvuyCdLuyIpleOnyfDB2blrHtmvO6fcI3YS511X53WPRYAA/utSZXC
dxqNRXMW1hg7/BgYTtAhIePky5bNs8PujZOfnTxaNvUw4Vvtu3Wvn9Z9P17PAN56HsiaqbgDlCer
Y+XqkuIvK88pghmnilMbGzS57191jbAME9YvRLuZiPQ0wq+tKEMlQU04LRPhZ+J/+GoYxAOpWqsc
zdkdfuAgKV8Kl4pq0gczRTV3P0sd9dT2b/aQ5fWuo0rIOltjk71DY6n5A0xkYKXg8DjpMbDrA5Il
wXoaxFgTPhgRVyELpHpMDc05p2LymzFV90uQqO+/hln2PLr6KnREfU1/MtrkWNCeacAxy9qPgQ1b
K4MA417yPrgO7T91RrJ+cPqKGgqHx+rA4EGfMiKvle8fKWHZGbJ5LFp0Rgcd/+ADGNBTAeAr6e6y
XPK3zLe25FrY1xlzaxomp4p5AxrsRzHSgW2UM21D8bccdid66L/vmfQ6/Fu0lH9s6Grbm7Hp7SNL
GebWparmaDbNh1C2DZ/pr9ZJVguiFDmSp7MzRMbkthLC2TDfBys3T25y7dYWSvhOI5E5GwfcPcdN
CjtMLo8gmLoD9WYfgCQcVdMcuwYePHzFM4FPd5tZ/ge/XrqX/6un0m8kNTzSeyVrnk9EWC1qqU0K
K22j+UxjlHsGrpY/rMWVjJ2fuiz092NXd1vEf+8J+fY+UvJakQ3g0gqOKAmLG7fStFvRQMxwxbzN
3E79dbelZROv6Erv6syN3HtJPN4GlGNu085HaFirLl2MuxsKboIdJXkLu7hq9j2k3tduqTBpOFcc
HSnOf27A1LE9v/YkWRDS2tdunPJjBbDww1+1YcZ9CpcZbA7hBdK622TgSjgm2r7EwpmvazkmNTnO
YexN52wEkf+xkM+qxwClmXJdhF3SX+ngdiSDbtXh9FTTXNkK4ym02+//fYMmACZ/4yKtXPHF+VsP
K1sGPGMxsV1Lj07N2puivQMU6crvUBxxwZonr0d31saw9Bo788leZDNL1ufUpuCuqUC6RXHfPTYe
nLcJbunaslmUtnl0FX0KHMYoj6OELNVt+par6NZ3xz0Tvsd5adzEZipfaJmKj78aN+M4/VHP/tdg
Kd0kIgVizXlEHn3k5WguWDXs33s3l4KrrQjT7hg1ANzqKEJnDu7WEk53cTGiUuTTqVfhFRDftu+z
O+FywU1mz99Jow1eJ3A0z1Tm2FV6mSaP2Cq5QtpLsf+V3t2ccGZJpxGl3Lat+jhSAXBIAt3vUjMN
t3VsDCcjNOoXYGSnyNYYcyjP+EeNJ3finTd7R8ur4I6z3R46eAqYE72M+sa6fUXESQ9rr6capXpz
xPe12jNd+NEbNaZyHwVN9BA2ubenHQ9B2Dcf8OhQNKehDo99uAstihtSlCgAapwMgYFQFpt2iAiD
TM9G0xuPrZ06n9cGUGzeGrdLGOX3yrGhgWEoOf+qAq0tIiFm39X3kACau591oOwdwZtt50CcI+hV
+79sA5V0X9+MXRu+jkOMEJ3TE5nYfnTbU+W2THLFdw1qDg5Bc2KdfcNuYnxMeWmADnQAaBpgLfu5
7NydrFtekbSe1X6tEiV1Rl8Z8WZa4HKUBYothVumz4p691Ptms0Ozi2cSfgtTt15F+q6/fAr5uAx
vM8cm9bYUAmodzX5Tm+XUYxW3VD6mE9nINMVY0kcyrhLjQHTsaaEZNcHdvnSzSPkZ0t4Phfc2a2c
ownP5dNQJ0X8OLdm9uYyeMJ9ErQiAWwN5+2iC5/QcuFNVXITUWNN3QoPSHWpTYX44GcsCTxT3sfA
rzNzEZGZrEcSTQBmisK0iD+7Sm7DNCZ1jX+5xpYZiW9DZ+A0siVmSlh6cCYFmLx+O7Wd8XVUPTPs
uK2TdtfHlRZ7OGia9mbbJ/jodlF1YjAFSM1vneI748Lc5wxGuXe+x46jn8gfhCfiGYAFfMzmFf3G
IGMGGh+ReZk+IZFkODdP0tL1tAeZXeNrLmc335Qx6gcMCMMv9pD6I3ArDJPTs6aQkEmsGgO0waqv
GvadouEIWpYSsysHCp8GOxmTd/OYox+p1mw4liNTAhRt8umbkqn3vTSywD6UFmHgo9MVPA9lgifi
2A3LGFvbTp2fkCHr5O3vX7H/Z30S/y/FFP//dk5w6/3Xd+yb4ctnasyNO8oosr+4ZvPFv2I/3KJ9
RHuCfGuC59c1W/7mS2+5MFOmuOSBiPYUy9X9f/8vQ3gwxTycNJRUePA7AlyZ/+W8tK3f8Emy2vMf
4OYEOPa3Ltr/l1sGeqS0fcFP4JMjM70/Zci41xU2mJ4U+xn8hg3iIy1BPORfrLQMvvmpgquRSkWU
sB9AUHN0Hft7mSi09JYiTetSd0Ycn7Q9q+pIfBme86CW17QKhU73blZ0X1TnQie3RBjDpI+1Rf1Z
UFKs4Jdw9Q5DGoPrWvZ0leytiHvOBlil/+jUveaPVcFQHj2LDHhDCmcbCSu8YUjc3wKtdW8Ksohw
WVysenHtWPV51kkEpSWJqdVl+bYs4sbkLVMLqWvHyThFILMxiSA+9tMrpo+ODbWx5qMrR3YYr2ZZ
EBovJRn3rkULI3Wws1sveLSZaJenonPVcE/JYW/eUoGtGkDoQWGRlxxPYwCXuPBCBicgSyLHP0hR
Es0tnbx8IgjMpyIg1n4nsEnqG5j9qxEFBKjkAJI90mSKMDS56a2jErfYZXMpUeo8Q3+P/dpiLxWO
sM6VSwgGe59v9EeXdoCNJLNLoQXDXUruLMpO0wuogHzG6D3MF1zzwj9TldS+q4SrEntW6JuP48Kg
3pE6CGD1uCrtNoPuoVYZgfVA62E1nlmHA6gXdHc8+qy7H0gnf0szq/J2Clz4q1EWNFCbXZXufPIr
6Th5XxD9uwGSh6Lxm0A5mu+wpKO8GkjT2eoSfodyArh9MoTiuutm4cehYI56pk8Kkg1+IEnXhKPY
3vMjpeA0eqflW8lo2/fBz9SFc+PnIHfQEiCNRk+9G9DZzW0tCdSHPgAc5DS7Nmc8XIJ6ZrzxneqS
7ahhTLjY+jnM2O3Jx1vggmB5cGbFxl9QVe2QzFBwhpraw2lUVbgSjPlTVOd3ynRQqPv8gwQ+sU87
J6R1G+9OYPu3hnNfx3RDjo6tP4dldgkN3K1WmtzU2eTTrJotnQDUP4sLFpt74I1BeIaVywnTSPm5
bOWE3VslqDsCLu58acGXFk1IJQpHg16nxxEE930HfZPJMOUaE6CeTpXjqXJLknD+7LpvoeAz29XW
jMmhU276bq4JunpN01mTP30e1owdRiAuz3i4yN65SwwvWhN5Yk3nDWtSb1pCe2mGxgcCw6K+veqx
vl3EmvEr17wf0TF2w2bNAVKATCYwb3vTu0rKGwySAxm5QQzHoDqyhdpRVclgH2O2XvO5rEOBMWVh
fBBJAfchs7n1geMX9bgnb04gOWWB2qUamusudiQd74BHeVw7DUqEGgSwIonR6W4n21h3R9p2nXvH
0NkdUiA4kqaMQJMMpHSHYzq3cQ4tjdsBeMAFZWLWGf+WThdr3DuK89IeD7KFEWcaitcgESAwouBT
D+DzpFvvZTIf8rndV37z1AzlRQ7JBzvzz4zGiosrs+swGqcO0UqExVXmztPSi9eR/KJy/Y6RG+qg
s/ejYNw5JewvQ7xxQCPJd68z+5V1Nt4SnT403bjPaZjc1GO3l/SSAHDvHiMcIC2fstM2LHgevqUv
oEEh5BOw2nAT1DuavrZGWN0slXrQBJ70GJ5Q+G8TRnMgBfZDAQYnwzNte9HB8gqgFLn5rRqrBz+X
3gay9jVFEtxierzOefg9Cjlk4CjoW3nMCuei2uLTwDPep2g+IX6E1L0zRYblz2++N3F3W6H5wUfY
KfeH4au7Slv4H70Nhsq9dk280SbLHH9qmH1bWvz4Te+MmB+nSe6kH9+PtXMhoPQ8BI9u/Y5RgW54
SPsw54KPwm2BG43U2lgUs5OzbKeNVveiLZ80t3dpYxaJBu/I9PacdPlBduHOknzwOjplBqEl0dfH
kADUHhbIl1JrtcVQ/5wFDonH+XNVpw4DuuqKGnJY+wKzrn5qjZ4ig4Y2QC6e28HuBPHPmFLEEc+9
K1pDw+TSD7EDayWkE7k1sreuqfJDTZ/iznfJlweF3rlGIZ5yzyp/cPFbGiW3Wf7t/7B3Hk1yXOkV
/SsKrZWIly/9QrPo8tWm2qMbm4y26b3PX6/zEpwRyCEZpGZDKdQLbNAolMl6+Zl7z01JSGF8Jvaz
xjAznVjCYQEwtAejC7+ZYI/7GrRt72wcoHplCLINNNz3GEKdCMiV9PoPAxk22/Liviyp/VUcIVsl
FyMBW+lirsnEdlF4xGgQ8OHqNSGFQdsd44mIEGe6GEL5NGjVicFHuIE5CZex6W+DXnI5p/NV3rvz
BhHO/Tzc1rq5bs362TVPXaStZVPvLZtEnglGTxpvBjMew7MCv+edYZTuk291nJwuPOyvXuZuVcph
4w3nnJkrh4X3FIz7bM6zM+ikNyr5sFUMbgAWh46Pms8S+WdjApy3eq6Z8EQh4h4G5xXmzkqYj4ad
njO5x9ErGA20LevOdjfNyYhX0npg8iXXPWEoyRle3FPB4dh7ORIldlSFyO9JsIeLgai0zG9mf5Lg
pxRIrk0OvewvqmneuXGFGqtWoIjaasfXIbPyc3zN3LXC6JH+UZnIuOjLaINchqSp0PmcdW2HoTAF
0F7BjjdPWSEGZPL3krSIdvgo/pHJGLIkLBo4R6R71uQMwxOz91ZuXoRmdIk2xj0boHAyexyOut2w
5p5mWm/CGzv3hXtuf+Gmlr4rBjd+tNsAXh6SmWZT4zn5SrPgGysQXPoD86D+azkQZYqpFtkWSU+b
2fG/2X6HvW4igCFskJB2snUV/VU5FNolCwawY/KNOzhhsbFOTCLbWxy5FcoCG6QFwFgyZfIlXyZf
sma0SeXOdFS5HRQF4mjwXWvhGaNSUmogxpJY4wyE16BWI8dGQkuNngfokvjFl6ybRsXeRFo33CbI
ome85CoXBz5o+DEZEEY8FZsz5Wl8wRi/u8gb2zor24G+lJgd2WI59gaky5kbONsO8fceek56ju3M
uY5UWA+9Zc9kgQCfEVLCPnQI9YlJen4IlqQfN7HsVaHif9qqrC7HSHfWjQoHmqYwuNXrqSYIIrrW
GyKEmqEmPmno77ljjJiqNZ8JApFDC7QiSZttCfCEQJaSaKJWqJSiRAUWkXLh3Gm07ee9ijMi3CQ+
y4H7n+uFU2DLJfbITFQCkq7CkMYlF+k/nODv/OlAKKxztSCeO0V7xl/YR1sU16XH/EVnmwU1DU+5
WEDRichDl3K72UQLSLpaoNJ2FxIQUuWCDtI1igp8jGJQ+7rCUbPLYskUK0o1Zmec3ekCrwY4A8ja
XqDWyQK4jhbYtVzA12YNDAvtMh06eh83ExeyjwFl//le81/pIn8MLvzb/754Q3afv91qLutcOJT/
tnopP36l1eQf/7TRtb6YyqgHb5WNKR0nTeh3k59ufzEty9Jdh2UvvjBWvf/oNE3MHA41nSNY7Ar3
Zxxq+cWl9SQPS+qWKzH5/ZlOE6b1P610PalLtsN4PFgsL53oD4AJq7BAcc3oYFEret6xT1oCUkKJ
cG3vBnGTPEQIoNgPjpXfoM1BJ72yPcsHxiKKvlSSkCHyDnAeo+4p6bDsPfi9rmmf+I1CRmJFqbIN
k5r5SzumyTcdcy4AZz1r0c1rMhHk22jyLZv02TvgyGguer2n75RV5HtXUwVc5kZQq6qToQ9vHOZs
xBqUXnNsdTW7xNluoaH1IuMNl2/hIkzSwXOcBcKwyhXrtGLctmGOhcIJ2R2eBw4OcQTgcUQNPE2t
u/bNQRu2c+5BZS5almOrtrGTmzEL2M+6FPVk41V03EgDcwGiGRKReyL+lmC/AFW8e5YPVkbELWE8
wz4rsabh/gJId2In35d3nWYn3BNpQlvUcVFb7EKXWeUWgRh4M9qAetp6oe1psMY4blZpATHjLAwa
qAYTE4f0okCKIrYwdmWyDy1B3hNe8S469N9zKNzQrZVz3KlOQ9fU8Y5A52Z+SqqOrAChazr80yAl
WPHkUBR8GMS0JDqJDCHgfO5vJV2xYCdCR77Eaww02J+J4GKhWIMVuM2WSI7KAKRBcLPCCCWT3kp2
64oxhJahKbdiIRD1GAGjjQc27NpUiCLoGeN6qj3ihBXAiCSO8p55AlQj0yznrZs5yZtpKuqRXAhI
Dk9znSos0mxaAfn1ipjkKnZSU4dglMSCVCLXA7xS5c0JWWQkmZ8zfwRlpN62ap8pRBM2EToxeyE3
JQvFCexg3F6SP1/uwcESMtTJaG6uqUDYo28EyDk4BqMYGKimtcdiWKsQ2MjZZkAiLK1X8gOjV2Z7
Mi5JrueGADwA5U59FegKTIUrvEI6D//IglnV4pmkyxi1+RJqE0PAahkIZiQuwElr4k7fTTRnSHi0
CAeDmbpFtfXmUcXhdFp5Dje7Lz6J+WMWOS5zSeFNvPHwktS8MrDIbXJjQA4mbeBwaCyaVqDlatTJ
jAYcTAYqghHoMg513bqZNvYyJh0cU9A6IOF89NIkuZBBmN9hu2KwOtfsKle5h+iedflsIDx01Ux2
AinAsEBNasUytHX0KO0h3/GOrqdlvGsziCCk0DLDtblMgfmGGNEGvEF9mUVjD+DThtB0SfiG05/7
4+CZd80ycjaX8XNlNb15HzDw7eFrL1NroQbYAdHD0Y1wRvGULRPuwsmc7rIr1RA8s6pGnGj3mJNn
y8y8CgFnXmfLRD3JBi54/mTSHlhq6m7ao05OpcbmwNKdAz45ejya7vR1gqL91MoaL1gU1JeTzOVa
w4pBiiirshshsn3aEN2NsXM6wnvIjpMdklU0mhnBMLMpNrPmfJbV9Aj3BQtQD1AlYI3CZd0wl1+h
YgfHNzfh3vGba5pR86rPgLPrgty5kbTE/aghLBFmT/LQ4L5lRvaVL0xMd9HMd3ngn4K0ABBm+kgp
OtlV8xl1WXS05QyWJ2X8hfi8LylFcgI41xkVXrWLJeHtFX+CGskajm9mbHQrmGTdEK712lQCRh+Z
5YUXtusyzxGSs3qFreI79r4a6+59Avf/lE8SiCGO2mcv6kk4KuCjicqYr8xSz4er2rLDSzByhEzN
g/DX2hT65fmI6GQfVq5xa4Vavs09w5yPY5OwC/JqbUZNyC5eKc0JO4xHnRB4aGKrGUMO9OFy/mxj
vbsC7wlOIuScjQ8oLthG5bjJdQ2dy6pJRbifQlw2ORX5tYGgb0ff4x8DZA8RsvqNJQfUnGS+1oSF
skEKQ44ZQuigqI742aKmBKvOGYJBpjVhd2ckCxapFe5B6w0wZmfMB2QqFfVGE3N2nnqDCXxGnx+Y
P7MnjJh7aFEc3WPDtVdG0vj7FsH3vC9obc6SBvsETCP3kjiGfluw+1+3BQA+bUQXGZA/te4JCt+r
++4qwKIF26TS1+oNeGA73W+9oDBWGi6s1TxwMxOT/lDn3vOMr5KNu2F8ZXYbvfYxCsusjfsnHY70
qWq70zggDw1jq70Z2gK3h9RfeK4DrXjq59FaVH7ylchMxDdJx7inrxK6vSwnuo5C5aRhiEQ661ib
2GIAiE2v8O74bk4rj5vQi97064E84DX3w/gGOSQpYUURFascS7J/lsY+UPdRcG8zibj3K/MCuFZ+
n/NVe3YoJrgAPThLRWCPtxotyl1JPwh+NyU2tXGu0AO193YSNJsctD+bdiIgU2vwz9Nq9t/NElmm
L8cSTHv3gPxZ3s55Rz7PFBVEcw0EsqzYCk8bJ2jkPhHt3aTRcSZ29ObhHH+EGfRKbg5ib3C7Rhrd
hpplf6SBfkHiF72kT8psZTS3FmvkHbzGu1GnW8oy9MdT7sQXVeS6xyyy89UYwQgotcmkjs+to0Yu
+bBukuY91HUf4HCP1dGTyTumvY3dwtyZPKMDX8p3rxOt/2YFBJSXE2oNMTR7OxuTWwZwSMGhtBzI
8hlopVkNMvkNDpQvzYsj0z0DxXLtYohaR3aaEuvZsgWGfb1EatryK3d+BA0sn46ssXp8xEmyxmkq
VnmeVorw739r2ZpdSuqx48CY8AKEJTpcpFUeCBTEDh2c7SiZdrhLW/aggE7XvPA7Uo3yT3222bdV
OfQmgDKYJM1ueoq8CfB7BGQMPsFFGZjVLiPeOp4cmObsfg+O6RU7S/YfLhxdYnX8lBBOLITHKubL
OMwkSOk2wZbDKMkKbMcGze+cW2vfZW6ECGIwVsGMlsW3fIiNdRzA6UwdHFuhOV1ogRbcu60Xr+0+
404UNwwd7GIa0P91QWKuZJ9NxsppPf+mR421Jsik20GDtXRI2gKpssOYds/sEq5NFESYpPLROqKL
oBbw/eqtHnzv0OGiexvyciRilGCo1di68gJozXjwKfZxB85IsMwRENwmi/Tha586zAFBhXmHtrNK
73wC2hW/Gn1K1KMRpOk2rmj6sZ2CvDbNBMcJZSLZdijvBypM1OkNwbi+aIbrHoDTwFfU/aySqb/B
z/OtiVIBh0IjSYAULn+6ZPRPjFagtMFkDpAbkWlyx/ve1g9kQwe4IIFEse4vnZ1LWsDG8yd730AH
vhur1t9V0WhrK1YjHqNNTpgEky2KRk4QdvC4WKZ9xPZzWkVIrmJgCiGS6iy078iRrh8ZotgIW0jh
5JrDnp2LtjwNlTdcIKET8abXRwZRqcOYiBMDvIDP5OHTDkS1A9qJgjyWPV5ZrwVtzH0aIHpMxjTY
LWXTbuWKbOF4S3Yuf93ofUKQiRbqNaklna4d8JoO57klac+ZjmY7s+V+VrQ1WCT2JNl9gf4qXZV2
8jXxBgTenR2sM50bDlGgV1Tg+r05+flr2QTtzqSfgXwuSXqwySW/iawk3Zad/ejrfr5uK3FRCyr/
pK9DCBqW88Ay+DWbjfGOmATSETvIl07EiCphLLAhDExc9aYbnnpLZru6t8r1JIuYXEaX+x2SQqYA
w7ytPFobLkf/PtAdlelJlm04BU9yyL/5pUh3Se9GBxcZ4zPLlGY1a3Z6bIc4OOdCK89FJ/WtR5zz
JsxQ4jHnIjsjd6L0EMUNd5kScX9DAYJgRJbl1uud4Y6sS+hkaDe9jWQ7Rypun6fXPns1lUqSJ/OG
leTElNdzZoqjqZSMtc3uq+ZMMfLMlIEp4bwCt2RZXgzkYDNeKwN5AyR1fp/DBp2YU/gUqhji2mvf
Nu13IO0tKcZxV9LUuDHsqnQOhk3BQOqYpJMfbfux9gEyaRPRtWOoPCnc0OpsSOtNH0yUa4VluGtT
i22MJdVsX5JQZttMzBL6MxEL/9toG44KNRW+u8sJjxcXuVP2zaYqW6yVU082CJz88cCSE/dLNFvF
qS8mQ26nctafrN4piJjlOpdQvoK42PNldau1XrtGsG4puMhdRrCNx2Mqs8cWtOD9XEGGBzylBfGu
S0EHrGZWWRH4NthOe2OqsnrrJWgoVwyHCSxyOsfD95Cpy7eFinwR5QZOqQmy7bvMuqq7At7itmtP
T6MHghAb83wmjsjb1N3YkPA4WHh3OSoJ3oVbxmou8tFW7lJiogGlzCWQGtajukkkSQdfdV9FUfGQ
RFnjrEU56NWKY5e5PCqj4bGpM4hWqRuMeNlko0VvYZvKbjdT0KnqyB8nxt9NP+4mu0Nxa4te3AZD
D6LZTRK2M51Bi76RfYvadc4YqwHv67hAMXBTM4c1LuCVaTp6sYd/JcNTwbJU7g3kZ/2298eQGlN4
UY69xo+ijcVqdFyX8TjUG3AsEdhs+nQLtqOGdq+rrfKGEhQsGiojUq8Ju7SfeTtLL8SqLzUSFomZ
0TdWHzTjOuvLOtwHjuN8hJMw32FDGPnZPExQrhtH58ocWUsxdLVLzqqqZcOydgAcwehHvX82Om08
brXUAPzLQt2Doof2RFFecCQz3ZfcT0ojebd0pJJZNFMCeH6QlgC9NeNW6zoAbWni63etqToOrONg
h+ECujuuq5A6sSVoc62FGonBYA7JS0YFqpfeZV+7fFER/sivtkdA8DoMCNBdRWHaZgeBWS44i2ne
9S0ipAj/WBEQiAcx0iWJowIbtHEnREkveh7Anikb3dRf/38W+MetHS7gq9+eBSpTx2+PAtW//WkU
aH4h2VAiste9JXgObclPo0AHZYmBucNGSACOVjCk+/ss0BBf8LuiNrEdG8OF7fyoOjG/uIbkESWz
/O9qlT8Bm3UNpSopUjgX+eH9P//d1R2Y9ZYpdZ0xpWEgdfm5vQM/OMz9WWIlj1rvEELv2uKMQrPL
ZvIQ65m3MTpiwGYwgE82E7qSGmqa2agFiiVVod2dVkaHCJWQbG3VdRIthOV53wpyORCpVHP5bOhE
WltB0T5MmpFliIB9DrUxm/hfU9cd3mrWOgZ5N7k7b+surL/pbMA1ZGhVe9OOE1RGUoODNUuT+eTh
Cj1w5hIzZ+q3JbfBlSGIlV6eao7p/NIwbVBSMy4TgkF804l4Qr5B4cY3n8VFVAJUmAw3YiU8DffF
pMfnXSLpQ8u49Dilyzfk56SC1n58Mxasb9JUBdlYnDuACy6NMsQfm7C7KkPhncdzV5LjNuicdrcV
X3vbTKEnDHnvfWCwrm9DXM7P3NSA41eG8ebz6c6I0qWNCt0ljNUZMwLWfUYbGxnO5YNRe8ifWxVU
0DBgOBppAxg8bb0NojlJtlxnP3DEgkv1qvEuit23tHGKQ83i4GaEqAriUAQjKV6Vi+LDL60TUHWD
0Psa6yJNesp6uo2vklxtxqvMP0Duz69ZM13FxJu/o2kxIfobmC4H9Myoh7KYcxf4rUTVOQbc91AD
1NF6gs8P8DWE3+DhvjkbXW+64R/Wl24V7zjs25s5pQYVA9O8M60t4ldqfucmtR3dfjCcoDiYZEkT
1iSQ3RbkqFOJhQ9OZLP9dYbr0bfIoMELxFbI1q7DOA+vC11+xuNoHF3N0M8NWQqwxjLcWJFbnwdd
O9+mWu8/JVEEkV805kuNa5ZtVFo8McRjrT86ebsGtZIy7TO9AyE86alzkk9sADrhRJ77iomYdBC9
Sx+DMYdpBzP4KUPcwnQOEFGaxvcq6qSFuIoLusACw8bZPczEFxOSlFWPwxhWL4xh3c++Nwl0FVWT
ku+X+dqxrQX9g1ziXwes1jiSl1jYQSXEuhNb+oOvcmMzT0XIEqs9DyvZ+G78SbARG6NpiZxtlvjZ
odBQUE5WyeB4UAm1DVJgBNjcx0xKZ58mOVkCbaMl3Bb9LUG3UmXeAjYYjCsYkmlGaK6KxUUH4SJs
jIlqoW3AqETeN7u/Q1wNROq2QsXrEqxF1O7EpPRzcsBLgk1zHW7rgVHj/w0i5aABpIe6OjEtCnRi
G/2TbaH8xPxAobOaVNYvKZPR0WlUALC1hAHbQWlLhrGB1OB5pDEWTa8amAstQcL6EiqM78zbm0vU
sJoGNzw7FUFsLnHEWZ744rLANtOs4rkwt04Nzg4HF2D6JdA4rMvmKeiVri0otezDUdnHkd75H+48
gymJl3DkcglKLoIKxG7mSp41+1emuoPKVUbfmUfXFSBY7uBL9LKzxDA7g4pkjlLgqsKUwU3gCPxC
QdyZ5i6hpRlXtstpQK8bl48DRVkGdKCSlyKo4BagWAG1FGVGfDKXkGiURRraHUuFR3NqkSoXDUV1
TFqjSAh3V1HTyjb8QeJbdkrQHFmbaVkQ2LaKxKALDnmb68JMLyJrah6C0ijTTbbsFsxGKRf8Zecg
Ioe6TmZ6+rUK6PewvqjlRAUNsYBcpE0lOjEzidcyd2O55ujJ+72Iegxi8GnZC5nNqOtbv4nU2sM1
pk/2QAj7iqxMn+HnMkpvMMT7Z2UhtOZM87i0z6oILYucY19eJSi4KUZHIw4IfFe7lmnZu3RqBVPQ
OoMRXDYzwkIdwHw9jblcKorl9cRsZotqCcFPxn4J8mzn8EEv+x132fV0y97HdkrEBGSUK7xWpYF+
EbHWc6AmjRJOCP4BzBpzlm9TVzI1H5y07Lb4CJnypH0VnDpWHEd3WTy5bhzesNQlv4hLC5JGzj6J
PcEA7hDkGaBcEhIw2RGtwzU2qnUW+342W24z8PjINcSxWnZfkoIA17RaiQlfZ3xPPjpmM7/lvD7r
wIjnNwV8b1KhJYPr/ehHLpF5ttDap461IL5/dGTzmVMzJj0kAYCxG+7ErOUijjoOPTjBSAK6uOSL
XoPNsiETxyvwSJV91vWVZ2PnUDs+bJvs+1Ajup8JPivCUtKgeI3qKcv3qPNTA6KQKirZP1BgWiTh
lesmCud2y8abIrRr89jdhizccY2wHamQWKpytWIOkh2i72Us/kYmNKUpv7LFp9C10zh8tm1RavuS
4zrcjo6TY/EmmeSj8PBNkm0+DXCMBN5zNFeqarad3Lo0DVslcmcdc8PG45wY4iKg0lDldqYK76BX
NfiEPfyWYRmVOfutGE1TZH/Agkneu6WINzFSPqAEpLS3jbR9ILCeJhUuKIfetPQA+dIPaK1u3GKe
DJi6ZrZ/Vzd6HB2npYXAVYJqPOeIN+FZZSYx1UyMHmUcK7emp8b93G/oScylP/GBmgNp+964tKqJ
CdmHsVhJJahNEMn0OVGiWS/guYznQRICeEaQGn5yu2mhddlLm9TAmOlJycQoDm64Y5RF3hYnr7k0
VyZ3YGNfcKOGuzH7sMHMuUrKCyS4tGR2nPEpIJAyiFEL+6tchK6PHzNhAAbwknhhN2WiyCPmhH3z
LFDZJXFWbFBxUEj4fC9wMC7toVhaxWZy+aQwcHIUsqmjkUQIQlPJd4nvNFCt4VHYYVEzhgjSTzwg
9KFGZQwMFThvjv1UGA992AOf6QqHmizqKiSQkoUGgtTKoAbIlv6WBjTSd9XS9xIhQ7mIXJV+WJsD
emOnwS28cm2vuR9aYTDCSdPs0dA8pvhjYIUP+tJZ08oipAWnS5pQ3PLabN8i4t7Uzfxa0fKIFvXL
rZ8iBD6L6RxuE+CuX5luOvFqkOV8ovQMMyqFfNxybvRPGrxxAPlF4axwCCdYB8DYcfhLRfOs+mTX
DlK/h+xhBytA+K6j1sraS1AGc4xjeQBCoSUDkFBjrHB09iLTXnT+z3UetmwGtdiJ976NV4xn2F9V
EknnJuLlX2KCSrF/WbSxaZDWh74gQn5FtiUa7xoo16sGuwJMgkBHG05MxRqNgB3iIcM2W8VtGwCb
8Ajq2RjmyPogrkNYQS3eXFpVofsAAyVZYq5nD7cTbCYbe88642tzXvqNtca0DjxUklD00nh+TwnN
ngpYuPj0dFJShcs1HSbNOdVBfkcNND8BTTLWZZPhujDJr7ozRGcoLW5+rO2iu+n0yn7z7PaNmxXj
pJ4dx5mFaXel4S1aT3pdsC3OUEsBpV2NBFZuZBCIVaNVSN9CQxyhwJlnWjY5u1H51apAoLsyEnHK
ZCnp14P7adKbtRHNcHa7vN43wo/WRhZrjxAQv06OHb6CmrwbbfM5G3CW50JEu8atbfSLc43Bsus2
9kDtmSSieyrnwTw0fSTvia6DjwGLbO+0EmS602U3AxKrndl4wP01xsvhujQGj9FNZVNdpLC+G1Mv
Th7CxeewIjmugBfOtnki0lSwVP/qcQYerSrxLiCz8XCtnV2Njmkxjq8Eg1vqcRAh8ttsFOYx1Nv8
2GckjWEnc3YKphnA3putYEcR0HPh2qO0r2NEBlt/TPDHRFF2W8yjUVAQDeR9wlUicKGwdRbvZe/F
G81hvVmMAAjOyni+4ivSXbg1XGUPej8G0A5Evp7pzkXX5PVTonfDM6rB4HquAvMcmmwELr+2U26D
41Pq+tFNEU7fwsybH8JWHx40XKuskPxu69ce1WY0lx0lrt1+86m9sCeGDQvTtm6Qvgk5Nu9pYpKy
RsDSVVCw1mNwnkZoecmOky5CfQQDnJhZq62KrtGvKp7vKpoiCQsvnPBkEgLnAjrifACzv5kb6T1S
NCL4H4KKvlVEc79zfLc4OfAEXy02S3g0U23lU6zeZqjZ4UlLedWIGNh8FQ2ItrT2haV3dy8DI3tN
tHy8cqfMfq9Fqz2HAWkhmpVSHCsEM3sLZwOsvtn6JeRQZL6PPaovqJtdf5WOLhCDSloEYoAh1XWN
AOzSrZ8jirS1DuiV54v9EyPp3Pa7qOirah1HIgRa5uUfXiZQFvpVPhwcbWrWhWz9F7zgsBZdqb3P
Zuve4pLF6Ob57skeGb+TR2reTkl/a5ihnp0BojAPiEgfRNGWx4Z58p4I2VM9ANZ3aQk2A+iDjYNy
4tsUB9WFNtRcqqNDhHBGTtamsDv8fUVTR1cTXTYeAE1edWFbIY6p2tuJnTGWZiQh2NdHG+kt+nAw
cnV3muex47PHhoq3WDT1xcIO1/qCXjjp7Q3q2WoXsHs8oW0DeRSJds+Srb4IjKr+xPZoXuYUPIj2
JF5N2KR2O66CYCZXI21160G4QBoN3w7jNd5358ZIQvcmKazmgar0VgSadqonMh51FK/22Tw2OjbQ
RLwy/tBxdCYAz9shC69TTLZPKVnzl2XloR1IE4MoWSe5A27ON7mDNRPzsBdFn2GvwHozUHFs7cG/
tR3uEG6mQZGK9eq5FeokCmLvpmF4u2XHXa+xuCniYhRre9Mvq6es7huEudbw2pPmidCkKpFAY3rF
8UIC5xhhAyqE375YRt0+/N+a7v2UiLXG17VZpnY33Uc93X40Xdo2f594qb+9Lhgl3Bf/s1/6/Qf6
N3amUTt9j6Z6K7q8Vc+AvWD+o/xPqtHdz0aFy1Nanu/vPUL6woN37x/KZuZ+YdgHBEZN+lI6iJ/+
QlpfhOvoplSeNP6LH96U33rZv/+Kvr9/v/87P3vOL+9ZBGGoaevo7dcwNt+fF7LP4KP4x6fxzy/9
Fw/zw0s34FFbhm2aaiqofhBL/vgOoJg02eUols33n7/oG/FLmPdvXAO//UZIAxsi2lAT6vbP3gHv
i3Q9xzH+eteANFGI/LFr/3det/vFZjlhS9P8/gHziD+/ABiR8wsO2RjLz1/0AvilTfXPXwD4UNVQ
XxqeipID7fSzN4KlAH8tTd3ijPgrngXuL8NR/vw7YH/RhS3JkiS075/fAU5JXVqOI6zvOu2/3mn4
B28Ev/NlsIkgxFqqg+//tXfA+gJ2SlpwYv6i18Avt2Z/+howjC8CgB13QiTv6ofP+sfjQHBaWNwo
7b/qNcAC7Y8UA79zDVhfXDS5Ohk8v3YNcA6w/eP14xFYfv6il4Lz/QP6F0oD6eGWMAxm5//9Sn+8
FPQvpjAExn2cEernT7wRf+DooMhUv/WWfrzUf/svAAAA//8=</cx:binary>
              </cx:geoCache>
            </cx:geography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size">
        <cx:f>_xlchart.v1.9</cx:f>
      </cx:numDim>
    </cx:data>
  </cx:chartData>
  <cx:chart>
    <cx:title pos="t" align="ctr" overlay="0">
      <cx:tx>
        <cx:txData>
          <cx:v>Time buckets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Time buckets</a:t>
          </a:r>
        </a:p>
      </cx:txPr>
    </cx:title>
    <cx:plotArea>
      <cx:plotAreaRegion>
        <cx:series layoutId="treemap" uniqueId="{0C74148C-FC57-48B9-88A6-21AE0DF69909}">
          <cx:tx>
            <cx:txData>
              <cx:f>_xlchart.v1.8</cx:f>
              <cx:v>total_views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_xlchart.v2.10</cx:f>
      </cx:strDim>
      <cx:numDim type="val">
        <cx:f>_xlchart.v2.12</cx:f>
      </cx:numDim>
    </cx:data>
  </cx:chartData>
  <cx:chart>
    <cx:title pos="t" align="ctr" overlay="0">
      <cx:tx>
        <cx:txData>
          <cx:v>Time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Time Analysis</a:t>
          </a:r>
        </a:p>
      </cx:txPr>
    </cx:title>
    <cx:plotArea>
      <cx:plotAreaRegion>
        <cx:series layoutId="funnel" uniqueId="{B7C88814-673D-48C7-9881-E0F1EDAC9D02}">
          <cx:tx>
            <cx:txData>
              <cx:f>_xlchart.v2.11</cx:f>
              <cx:v>total_views</cx:v>
            </cx:txData>
          </cx:tx>
          <cx:dataPt idx="0">
            <cx:spPr>
              <a:solidFill>
                <a:srgbClr val="A02B93">
                  <a:lumMod val="75000"/>
                </a:srgbClr>
              </a:solidFill>
            </cx:spPr>
          </cx:dataPt>
          <cx:dataPt idx="1">
            <cx:spPr>
              <a:solidFill>
                <a:srgbClr val="FF0000"/>
              </a:solidFill>
            </cx:spPr>
          </cx:dataPt>
          <cx:dataPt idx="2">
            <cx:spPr>
              <a:solidFill>
                <a:srgbClr val="00B050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_xlchart.v2.13</cx:f>
      </cx:strDim>
      <cx:numDim type="val">
        <cx:f>_xlchart.v2.15</cx:f>
      </cx:numDim>
    </cx:data>
  </cx:chartData>
  <cx:chart>
    <cx:title pos="t" align="ctr" overlay="0">
      <cx:tx>
        <cx:txData>
          <cx:v>Top 10 Most Enganged Users/Views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Top 10 Most Enganged Users/Views</a:t>
          </a:r>
        </a:p>
      </cx:txPr>
    </cx:title>
    <cx:plotArea>
      <cx:plotAreaRegion>
        <cx:series layoutId="funnel" uniqueId="{CC9AA286-687A-4EDB-80A7-9E9A933DD15B}">
          <cx:tx>
            <cx:txData>
              <cx:f>_xlchart.v2.14</cx:f>
              <cx:v>Count Viewership duration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9</xdr:row>
      <xdr:rowOff>157162</xdr:rowOff>
    </xdr:from>
    <xdr:to>
      <xdr:col>5</xdr:col>
      <xdr:colOff>1047750</xdr:colOff>
      <xdr:row>24</xdr:row>
      <xdr:rowOff>42862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31134B0-4CE9-6189-1835-9876E7401C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9825" y="18716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52386</xdr:colOff>
      <xdr:row>15</xdr:row>
      <xdr:rowOff>90487</xdr:rowOff>
    </xdr:from>
    <xdr:to>
      <xdr:col>6</xdr:col>
      <xdr:colOff>600074</xdr:colOff>
      <xdr:row>33</xdr:row>
      <xdr:rowOff>85725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F1D0BA6-14A8-8B66-6579-AEEC47D69A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8961" y="2947987"/>
              <a:ext cx="5700713" cy="3424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1138237</xdr:colOff>
      <xdr:row>11</xdr:row>
      <xdr:rowOff>42862</xdr:rowOff>
    </xdr:from>
    <xdr:to>
      <xdr:col>8</xdr:col>
      <xdr:colOff>404812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F08E1-76C1-9479-48F4-EBD5FB6B8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23812</xdr:rowOff>
    </xdr:from>
    <xdr:to>
      <xdr:col>3</xdr:col>
      <xdr:colOff>381000</xdr:colOff>
      <xdr:row>21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874503-82D6-A4AD-CD2D-4157C739D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1138237</xdr:colOff>
      <xdr:row>11</xdr:row>
      <xdr:rowOff>42862</xdr:rowOff>
    </xdr:from>
    <xdr:to>
      <xdr:col>8</xdr:col>
      <xdr:colOff>404812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076144-B0F7-3680-4D7E-CC8B447B4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547687</xdr:colOff>
      <xdr:row>17</xdr:row>
      <xdr:rowOff>90487</xdr:rowOff>
    </xdr:from>
    <xdr:to>
      <xdr:col>13</xdr:col>
      <xdr:colOff>90487</xdr:colOff>
      <xdr:row>31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30AADF7-17B6-7EF5-DC68-ACF975E439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6762" y="3328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633412</xdr:colOff>
      <xdr:row>33</xdr:row>
      <xdr:rowOff>157162</xdr:rowOff>
    </xdr:from>
    <xdr:to>
      <xdr:col>6</xdr:col>
      <xdr:colOff>414337</xdr:colOff>
      <xdr:row>48</xdr:row>
      <xdr:rowOff>42862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BBE12D-B0AE-42D2-945F-92A4C7B8E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80961</xdr:colOff>
      <xdr:row>19</xdr:row>
      <xdr:rowOff>57149</xdr:rowOff>
    </xdr:from>
    <xdr:to>
      <xdr:col>11</xdr:col>
      <xdr:colOff>180974</xdr:colOff>
      <xdr:row>34</xdr:row>
      <xdr:rowOff>142874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976EDC6-FFEC-EEFD-B393-19EBA7DDB2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0161" y="1962149"/>
              <a:ext cx="4976813" cy="2943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33336</xdr:rowOff>
    </xdr:from>
    <xdr:to>
      <xdr:col>9</xdr:col>
      <xdr:colOff>195263</xdr:colOff>
      <xdr:row>42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A17D5C-E1C7-B862-855A-3CCA1BE2C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1319212</xdr:colOff>
      <xdr:row>20</xdr:row>
      <xdr:rowOff>80962</xdr:rowOff>
    </xdr:from>
    <xdr:to>
      <xdr:col>8</xdr:col>
      <xdr:colOff>200025</xdr:colOff>
      <xdr:row>36</xdr:row>
      <xdr:rowOff>57150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CC8F552-B8E1-A743-3610-6CCA0AFF76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0287" y="3890962"/>
              <a:ext cx="5233988" cy="30241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udence Mohlala" refreshedDate="46130.951336921295" createdVersion="8" refreshedVersion="8" minRefreshableVersion="3" recordCount="18" xr:uid="{865E7BDF-D4C5-4AA0-B50E-F83334FAD611}">
  <cacheSource type="worksheet">
    <worksheetSource ref="A24:B42" sheet="Sheet2"/>
  </cacheSource>
  <cacheFields count="2">
    <cacheField name="Row Labels" numFmtId="0">
      <sharedItems count="18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on SuperSport"/>
        <s v="MK"/>
        <s v="M-Net"/>
        <s v="SawSee"/>
        <s v="SuperSport Blitz"/>
        <s v="Supersport Live Events"/>
        <s v="Trace TV"/>
        <s v="Vuzu"/>
      </sharedItems>
    </cacheField>
    <cacheField name="Count of Viewership.Time" numFmtId="0">
      <sharedItems containsSemiMixedTypes="0" containsString="0" containsNumber="1" containsInteger="1" minValue="1" maxValue="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udence Mohlala" refreshedDate="46130.956449768521" createdVersion="8" refreshedVersion="8" minRefreshableVersion="3" recordCount="1001" xr:uid="{FD2C75D9-72D7-41AB-A199-F26BF5029C92}">
  <cacheSource type="worksheet">
    <worksheetSource ref="A1:R1048576" sheet="BrightTV_JoinedTablesnw_2026_04"/>
  </cacheSource>
  <cacheFields count="20">
    <cacheField name="UserID" numFmtId="0">
      <sharedItems containsString="0" containsBlank="1" containsNumber="1" containsInteger="1" minValue="1373" maxValue="809230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 count="4">
        <s v="None"/>
        <s v="female"/>
        <s v="male"/>
        <m/>
      </sharedItems>
    </cacheField>
    <cacheField name="Race" numFmtId="0">
      <sharedItems containsBlank="1" count="7">
        <s v="None"/>
        <s v="white"/>
        <s v="black"/>
        <s v="other"/>
        <s v="coloured"/>
        <s v="indian_asian"/>
        <m/>
      </sharedItems>
    </cacheField>
    <cacheField name="Age" numFmtId="0">
      <sharedItems containsString="0" containsBlank="1" containsNumber="1" containsInteger="1" minValue="0" maxValue="64" count="53">
        <n v="0"/>
        <n v="9"/>
        <n v="26"/>
        <n v="21"/>
        <n v="37"/>
        <n v="43"/>
        <n v="34"/>
        <n v="24"/>
        <n v="23"/>
        <n v="22"/>
        <n v="44"/>
        <n v="28"/>
        <n v="35"/>
        <n v="32"/>
        <n v="19"/>
        <n v="36"/>
        <n v="13"/>
        <n v="25"/>
        <n v="40"/>
        <n v="30"/>
        <n v="58"/>
        <n v="10"/>
        <n v="31"/>
        <n v="47"/>
        <n v="39"/>
        <n v="18"/>
        <n v="49"/>
        <n v="11"/>
        <n v="29"/>
        <n v="38"/>
        <n v="27"/>
        <n v="46"/>
        <n v="55"/>
        <n v="45"/>
        <n v="42"/>
        <n v="14"/>
        <n v="33"/>
        <n v="54"/>
        <n v="52"/>
        <n v="48"/>
        <n v="41"/>
        <n v="53"/>
        <n v="51"/>
        <n v="17"/>
        <n v="61"/>
        <n v="50"/>
        <n v="64"/>
        <n v="20"/>
        <n v="60"/>
        <n v="15"/>
        <n v="59"/>
        <n v="62"/>
        <m/>
      </sharedItems>
      <fieldGroup base="6">
        <rangePr startNum="0" endNum="64" groupInterval="15"/>
        <groupItems count="7">
          <s v="(blank)"/>
          <s v="0-14"/>
          <s v="15-29"/>
          <s v="30-44"/>
          <s v="45-59"/>
          <s v="60-74"/>
          <s v="&gt;75"/>
        </groupItems>
      </fieldGroup>
    </cacheField>
    <cacheField name="Province" numFmtId="0">
      <sharedItems containsBlank="1" count="11">
        <s v="None"/>
        <s v="Eastern Cape"/>
        <s v="Gauteng"/>
        <s v="Kwazulu Natal"/>
        <s v="Western Cape"/>
        <s v="Mpumalanga"/>
        <s v="Limpopo"/>
        <s v="Northern Cape"/>
        <s v="Free State"/>
        <s v="North West"/>
        <m/>
      </sharedItems>
    </cacheField>
    <cacheField name="Social Media Handle" numFmtId="0">
      <sharedItems containsBlank="1" count="110">
        <s v="None"/>
        <s v="@Shelley 23"/>
        <s v="@Garry 28"/>
        <s v="@Yong 48"/>
        <s v="@Cory 10"/>
        <s v="@Donald 22"/>
        <s v="@Carter 3"/>
        <s v="@Filiberto 4"/>
        <s v="@Stacy 27"/>
        <s v="@Art 40"/>
        <s v="@Bret 31"/>
        <s v="@Len 44"/>
        <s v="@Winona 48"/>
        <s v="@Kip 14"/>
        <s v="@Hugh1"/>
        <s v="@Winona 14"/>
        <s v="@Claud 34"/>
        <s v="@Shane 2"/>
        <s v="@Raymundo 43"/>
        <s v="@Jacinto 25"/>
        <s v="@Dee 21"/>
        <s v="@Anette 34"/>
        <s v="@Williemae 48"/>
        <s v="@Royal 17"/>
        <s v="@Loyd 49"/>
        <s v="@Anette 14"/>
        <s v="@Stefan 46"/>
        <s v="@Robby 16"/>
        <s v="@Randy 39"/>
        <s v="@Hollis 38"/>
        <s v="@Valentine 47"/>
        <s v="@Mellie 41"/>
        <s v="@Lucas 23"/>
        <s v="@Shandra 41"/>
        <s v="@Michel 20"/>
        <s v="@Chas 35"/>
        <s v="@Rebecka 17"/>
        <s v="@Wilburn 30"/>
        <s v="@Roxana 36"/>
        <s v="@Emerson 24"/>
        <s v="@Kyle 6"/>
        <s v="@Yolonda 13"/>
        <s v="@Yolonda 32"/>
        <s v="@Lillie 46"/>
        <s v="@Eli 29"/>
        <s v="@Romeo 37"/>
        <s v="@Meghann 22"/>
        <s v="@Lloyd 7"/>
        <s v="@Stephen 15"/>
        <s v="@Bess 5"/>
        <s v="@Jared 50"/>
        <s v="@Rebekah 43"/>
        <s v="@Charlie 36"/>
        <s v="@Efren 13"/>
        <s v="@Brendan 45"/>
        <s v="@Alecia 41"/>
        <s v="@Sharri 16"/>
        <s v="@Lane 11"/>
        <s v="@Seema 46"/>
        <s v="@Iva 21"/>
        <s v="@Haywood 9"/>
        <s v="@Markus 19"/>
        <s v="@Hyman 8"/>
        <s v="@Dia 33"/>
        <s v="@Minerva 37"/>
        <s v="@Desirae 45"/>
        <s v="@Cody 12"/>
        <s v="@Alissa 14"/>
        <s v="@Nubia 4"/>
        <s v="@Minerva 20"/>
        <s v="@Dion 33"/>
        <s v="@Eula 39"/>
        <s v="@Samuel 26"/>
        <s v="@Tiffani 38"/>
        <s v="@Nubia 40"/>
        <s v="@Lillian 23"/>
        <s v="@Anette 24"/>
        <s v="@Irving 5"/>
        <s v="@Lesli 20"/>
        <s v="@Lillian 22"/>
        <s v="@Abel 18"/>
        <s v="@Earl 42"/>
        <s v="@Katharina 20"/>
        <s v="@Emilie 50"/>
        <s v="@Earline 32"/>
        <s v="@Wilton 41"/>
        <s v="@Alecia 16"/>
        <s v="@Emilie 23"/>
        <s v="@Desirae 29"/>
        <s v="@Bernardo 32"/>
        <s v="@Winona 41"/>
        <s v="@Epifania 35"/>
        <s v="@Yolonda 20"/>
        <s v="@Lillie 43"/>
        <s v="@Emilie 1"/>
        <s v="@Iva 43"/>
        <s v="@Felipa 17"/>
        <s v="@Roxane 18"/>
        <s v="@Minerva 29"/>
        <s v="@Luanna 40"/>
        <s v="@Blanca 40"/>
        <s v="@Gretta 43"/>
        <s v="@Dia 8"/>
        <s v="@Katharina 41"/>
        <s v="@Luann 40"/>
        <s v="@Anette 15"/>
        <s v="@Williemae 41"/>
        <s v="@Nakita 18"/>
        <s v="@Desirae 3"/>
        <m/>
      </sharedItems>
    </cacheField>
    <cacheField name="Viewership.UserID" numFmtId="0">
      <sharedItems containsString="0" containsBlank="1" containsNumber="1" containsInteger="1" minValue="1373" maxValue="809230"/>
    </cacheField>
    <cacheField name="Viewership.Channel2" numFmtId="0">
      <sharedItems containsBlank="1" count="19">
        <s v="ICC Cricket World Cup 2011"/>
        <s v="SawSee"/>
        <s v="Boomerang"/>
        <s v="Channel O"/>
        <s v="Supersport Live Events"/>
        <s v="SuperSport Blitz"/>
        <s v="E! Entertainment"/>
        <s v="Break in transmission"/>
        <s v="Trace TV"/>
        <s v="Cartoon Network"/>
        <s v="Africa Magic"/>
        <s v="M-Net"/>
        <s v="CNN"/>
        <s v="DStv Events 1"/>
        <s v="kykNET"/>
        <s v="MK"/>
        <s v="Vuzu"/>
        <s v="Live on SuperSport"/>
        <m/>
      </sharedItems>
    </cacheField>
    <cacheField name="Viewership.RecordDate2" numFmtId="0">
      <sharedItems containsNonDate="0" containsDate="1" containsString="0" containsBlank="1" minDate="2016-01-01T04:37:00" maxDate="2016-03-31T23:42:00"/>
    </cacheField>
    <cacheField name="Viewership.RecordDate22" numFmtId="0">
      <sharedItems containsNonDate="0" containsDate="1" containsString="0" containsBlank="1" minDate="2016-01-01T00:00:00" maxDate="2016-04-01T00:00:00"/>
    </cacheField>
    <cacheField name="Viewership.Date" numFmtId="0">
      <sharedItems containsNonDate="0" containsDate="1" containsString="0" containsBlank="1" minDate="2016-01-01T00:00:00" maxDate="2016-04-01T00:00:00"/>
    </cacheField>
    <cacheField name="Viewership.Time" numFmtId="0">
      <sharedItems containsNonDate="0" containsDate="1" containsString="0" containsBlank="1" minDate="1899-12-30T00:00:00" maxDate="1899-12-30T23:59:00" count="654">
        <d v="1899-12-30T11:04:00"/>
        <d v="1899-12-30T19:18:00"/>
        <d v="1899-12-30T18:56:00"/>
        <d v="1899-12-30T06:25:00"/>
        <d v="1899-12-30T08:43:00"/>
        <d v="1899-12-30T10:40:00"/>
        <d v="1899-12-30T15:47:00"/>
        <d v="1899-12-30T07:34:00"/>
        <d v="1899-12-30T15:45:00"/>
        <d v="1899-12-30T13:03:00"/>
        <d v="1899-12-30T22:15:00"/>
        <d v="1899-12-30T20:13:00"/>
        <d v="1899-12-30T22:20:00"/>
        <d v="1899-12-30T08:01:00"/>
        <d v="1899-12-30T17:58:00"/>
        <d v="1899-12-30T16:12:00"/>
        <d v="1899-12-30T17:59:00"/>
        <d v="1899-12-30T20:03:00"/>
        <d v="1899-12-30T20:45:00"/>
        <d v="1899-12-30T09:20:00"/>
        <d v="1899-12-30T08:27:00"/>
        <d v="1899-12-30T12:17:00"/>
        <d v="1899-12-30T08:38:00"/>
        <d v="1899-12-30T14:00:00"/>
        <d v="1899-12-30T14:51:00"/>
        <d v="1899-12-30T23:43:00"/>
        <d v="1899-12-30T14:03:00"/>
        <d v="1899-12-30T18:53:00"/>
        <d v="1899-12-30T11:52:00"/>
        <d v="1899-12-30T21:35:00"/>
        <d v="1899-12-30T14:15:00"/>
        <d v="1899-12-30T20:18:00"/>
        <d v="1899-12-30T20:35:00"/>
        <d v="1899-12-30T11:45:00"/>
        <d v="1899-12-30T11:28:00"/>
        <d v="1899-12-30T10:29:00"/>
        <d v="1899-12-30T11:38:00"/>
        <d v="1899-12-30T13:23:00"/>
        <d v="1899-12-30T10:33:00"/>
        <d v="1899-12-30T19:11:00"/>
        <d v="1899-12-30T17:26:00"/>
        <d v="1899-12-30T14:19:00"/>
        <d v="1899-12-30T13:51:00"/>
        <d v="1899-12-30T07:02:00"/>
        <d v="1899-12-30T12:38:00"/>
        <d v="1899-12-30T12:45:00"/>
        <d v="1899-12-30T20:28:00"/>
        <d v="1899-12-30T15:41:00"/>
        <d v="1899-12-30T16:16:00"/>
        <d v="1899-12-30T21:19:00"/>
        <d v="1899-12-30T16:23:00"/>
        <d v="1899-12-30T07:20:00"/>
        <d v="1899-12-30T15:06:00"/>
        <d v="1899-12-30T12:37:00"/>
        <d v="1899-12-30T17:47:00"/>
        <d v="1899-12-30T09:34:00"/>
        <d v="1899-12-30T20:42:00"/>
        <d v="1899-12-30T19:49:00"/>
        <d v="1899-12-30T10:42:00"/>
        <d v="1899-12-30T22:10:00"/>
        <d v="1899-12-30T07:58:00"/>
        <d v="1899-12-30T23:33:00"/>
        <d v="1899-12-30T06:43:00"/>
        <d v="1899-12-30T22:23:00"/>
        <d v="1899-12-30T02:38:00"/>
        <d v="1899-12-30T14:17:00"/>
        <d v="1899-12-30T18:58:00"/>
        <d v="1899-12-30T08:56:00"/>
        <d v="1899-12-30T21:55:00"/>
        <d v="1899-12-30T14:38:00"/>
        <d v="1899-12-30T19:16:00"/>
        <d v="1899-12-30T15:58:00"/>
        <d v="1899-12-30T16:00:00"/>
        <d v="1899-12-30T18:07:00"/>
        <d v="1899-12-30T17:17:00"/>
        <d v="1899-12-30T12:46:00"/>
        <d v="1899-12-30T18:10:00"/>
        <d v="1899-12-30T18:18:00"/>
        <d v="1899-12-30T19:00:00"/>
        <d v="1899-12-30T22:08:00"/>
        <d v="1899-12-30T00:06:00"/>
        <d v="1899-12-30T15:31:00"/>
        <d v="1899-12-30T17:04:00"/>
        <d v="1899-12-30T14:31:00"/>
        <d v="1899-12-30T12:25:00"/>
        <d v="1899-12-30T18:11:00"/>
        <d v="1899-12-30T14:34:00"/>
        <d v="1899-12-30T11:49:00"/>
        <d v="1899-12-30T14:57:00"/>
        <d v="1899-12-30T11:33:00"/>
        <d v="1899-12-30T10:32:00"/>
        <d v="1899-12-30T14:42:00"/>
        <d v="1899-12-30T16:11:00"/>
        <d v="1899-12-30T13:25:00"/>
        <d v="1899-12-30T16:50:00"/>
        <d v="1899-12-30T04:37:00"/>
        <d v="1899-12-30T18:51:00"/>
        <d v="1899-12-30T02:30:00"/>
        <d v="1899-12-30T16:32:00"/>
        <d v="1899-12-30T16:27:00"/>
        <d v="1899-12-30T19:03:00"/>
        <d v="1899-12-30T07:04:00"/>
        <d v="1899-12-30T05:26:00"/>
        <d v="1899-12-30T15:46:00"/>
        <d v="1899-12-30T11:36:00"/>
        <d v="1899-12-30T13:42:00"/>
        <d v="1899-12-30T13:55:00"/>
        <d v="1899-12-30T21:46:00"/>
        <d v="1899-12-30T17:49:00"/>
        <d v="1899-12-30T13:18:00"/>
        <d v="1899-12-30T03:05:00"/>
        <d v="1899-12-30T14:01:00"/>
        <d v="1899-12-30T16:07:00"/>
        <d v="1899-12-30T08:59:00"/>
        <d v="1899-12-30T09:02:00"/>
        <d v="1899-12-30T19:29:00"/>
        <d v="1899-12-30T13:09:00"/>
        <d v="1899-12-30T21:26:00"/>
        <d v="1899-12-30T11:32:00"/>
        <d v="1899-12-30T05:54:00"/>
        <d v="1899-12-30T18:12:00"/>
        <d v="1899-12-30T08:53:00"/>
        <d v="1899-12-30T19:52:00"/>
        <d v="1899-12-30T12:21:00"/>
        <d v="1899-12-30T09:56:00"/>
        <d v="1899-12-30T10:24:00"/>
        <d v="1899-12-30T18:30:00"/>
        <d v="1899-12-30T15:25:00"/>
        <d v="1899-12-30T15:02:00"/>
        <d v="1899-12-30T07:57:00"/>
        <d v="1899-12-30T16:29:00"/>
        <d v="1899-12-30T20:08:00"/>
        <d v="1899-12-30T06:24:00"/>
        <d v="1899-12-30T09:37:00"/>
        <d v="1899-12-30T16:49:00"/>
        <d v="1899-12-30T16:41:00"/>
        <d v="1899-12-30T06:23:00"/>
        <d v="1899-12-30T13:10:00"/>
        <d v="1899-12-30T19:19:00"/>
        <d v="1899-12-30T14:04:00"/>
        <d v="1899-12-30T16:43:00"/>
        <d v="1899-12-30T19:01:00"/>
        <d v="1899-12-30T09:31:00"/>
        <d v="1899-12-30T07:32:00"/>
        <d v="1899-12-30T17:00:00"/>
        <d v="1899-12-30T20:49:00"/>
        <d v="1899-12-30T01:00:00"/>
        <d v="1899-12-30T19:13:00"/>
        <d v="1899-12-30T15:26:00"/>
        <d v="1899-12-30T19:14:00"/>
        <d v="1899-12-30T11:10:00"/>
        <d v="1899-12-30T15:56:00"/>
        <d v="1899-12-30T20:21:00"/>
        <d v="1899-12-30T06:11:00"/>
        <d v="1899-12-30T08:11:00"/>
        <d v="1899-12-30T03:51:00"/>
        <d v="1899-12-30T18:24:00"/>
        <d v="1899-12-30T10:55:00"/>
        <d v="1899-12-30T14:14:00"/>
        <d v="1899-12-30T08:44:00"/>
        <d v="1899-12-30T08:42:00"/>
        <d v="1899-12-30T11:16:00"/>
        <d v="1899-12-30T20:54:00"/>
        <d v="1899-12-30T21:21:00"/>
        <d v="1899-12-30T17:29:00"/>
        <d v="1899-12-30T12:06:00"/>
        <d v="1899-12-30T18:22:00"/>
        <d v="1899-12-30T22:29:00"/>
        <d v="1899-12-30T22:17:00"/>
        <d v="1899-12-30T21:25:00"/>
        <d v="1899-12-30T15:54:00"/>
        <d v="1899-12-30T22:18:00"/>
        <d v="1899-12-30T16:40:00"/>
        <d v="1899-12-30T06:06:00"/>
        <d v="1899-12-30T06:14:00"/>
        <d v="1899-12-30T16:10:00"/>
        <d v="1899-12-30T10:06:00"/>
        <d v="1899-12-30T12:47:00"/>
        <d v="1899-12-30T21:58:00"/>
        <d v="1899-12-30T18:40:00"/>
        <d v="1899-12-30T22:00:00"/>
        <d v="1899-12-30T19:50:00"/>
        <d v="1899-12-30T17:30:00"/>
        <d v="1899-12-30T16:52:00"/>
        <d v="1899-12-30T14:05:00"/>
        <d v="1899-12-30T13:39:00"/>
        <d v="1899-12-30T14:43:00"/>
        <d v="1899-12-30T16:42:00"/>
        <d v="1899-12-30T23:17:00"/>
        <d v="1899-12-30T23:22:00"/>
        <d v="1899-12-30T21:30:00"/>
        <d v="1899-12-30T17:21:00"/>
        <d v="1899-12-30T22:41:00"/>
        <d v="1899-12-30T21:34:00"/>
        <d v="1899-12-30T13:17:00"/>
        <d v="1899-12-30T03:15:00"/>
        <d v="1899-12-30T18:09:00"/>
        <d v="1899-12-30T17:48:00"/>
        <d v="1899-12-30T00:02:00"/>
        <d v="1899-12-30T00:04:00"/>
        <d v="1899-12-30T11:02:00"/>
        <d v="1899-12-30T13:37:00"/>
        <d v="1899-12-30T10:47:00"/>
        <d v="1899-12-30T17:45:00"/>
        <d v="1899-12-30T07:40:00"/>
        <d v="1899-12-30T09:08:00"/>
        <d v="1899-12-30T23:05:00"/>
        <d v="1899-12-30T18:42:00"/>
        <d v="1899-12-30T16:14:00"/>
        <d v="1899-12-30T21:20:00"/>
        <d v="1899-12-30T19:57:00"/>
        <d v="1899-12-30T19:09:00"/>
        <d v="1899-12-30T20:48:00"/>
        <d v="1899-12-30T23:54:00"/>
        <d v="1899-12-30T16:13:00"/>
        <d v="1899-12-30T03:54:00"/>
        <d v="1899-12-30T13:28:00"/>
        <d v="1899-12-30T12:41:00"/>
        <d v="1899-12-30T20:27:00"/>
        <d v="1899-12-30T06:33:00"/>
        <d v="1899-12-30T07:24:00"/>
        <d v="1899-12-30T08:12:00"/>
        <d v="1899-12-30T06:54:00"/>
        <d v="1899-12-30T19:54:00"/>
        <d v="1899-12-30T13:33:00"/>
        <d v="1899-12-30T08:54:00"/>
        <d v="1899-12-30T20:23:00"/>
        <d v="1899-12-30T03:18:00"/>
        <d v="1899-12-30T09:28:00"/>
        <d v="1899-12-30T23:39:00"/>
        <d v="1899-12-30T17:54:00"/>
        <d v="1899-12-30T09:44:00"/>
        <d v="1899-12-30T16:20:00"/>
        <d v="1899-12-30T19:32:00"/>
        <d v="1899-12-30T20:36:00"/>
        <d v="1899-12-30T16:25:00"/>
        <d v="1899-12-30T09:18:00"/>
        <d v="1899-12-30T22:34:00"/>
        <d v="1899-12-30T07:06:00"/>
        <d v="1899-12-30T09:17:00"/>
        <d v="1899-12-30T04:28:00"/>
        <d v="1899-12-30T16:44:00"/>
        <d v="1899-12-30T19:41:00"/>
        <d v="1899-12-30T14:37:00"/>
        <d v="1899-12-30T15:03:00"/>
        <d v="1899-12-30T08:14:00"/>
        <d v="1899-12-30T16:08:00"/>
        <d v="1899-12-30T17:55:00"/>
        <d v="1899-12-30T21:43:00"/>
        <d v="1899-12-30T20:38:00"/>
        <d v="1899-12-30T01:54:00"/>
        <d v="1899-12-30T15:23:00"/>
        <d v="1899-12-30T17:41:00"/>
        <d v="1899-12-30T14:58:00"/>
        <d v="1899-12-30T18:25:00"/>
        <d v="1899-12-30T13:41:00"/>
        <d v="1899-12-30T10:50:00"/>
        <d v="1899-12-30T09:29:00"/>
        <d v="1899-12-30T16:28:00"/>
        <d v="1899-12-30T14:11:00"/>
        <d v="1899-12-30T21:15:00"/>
        <d v="1899-12-30T09:26:00"/>
        <d v="1899-12-30T19:07:00"/>
        <d v="1899-12-30T17:52:00"/>
        <d v="1899-12-30T18:43:00"/>
        <d v="1899-12-30T01:09:00"/>
        <d v="1899-12-30T15:18:00"/>
        <d v="1899-12-30T16:34:00"/>
        <d v="1899-12-30T11:44:00"/>
        <d v="1899-12-30T08:08:00"/>
        <d v="1899-12-30T21:41:00"/>
        <d v="1899-12-30T10:39:00"/>
        <d v="1899-12-30T05:51:00"/>
        <d v="1899-12-30T05:48:00"/>
        <d v="1899-12-30T07:37:00"/>
        <d v="1899-12-30T07:28:00"/>
        <d v="1899-12-30T16:30:00"/>
        <d v="1899-12-30T20:34:00"/>
        <d v="1899-12-30T15:27:00"/>
        <d v="1899-12-30T12:31:00"/>
        <d v="1899-12-30T09:54:00"/>
        <d v="1899-12-30T12:18:00"/>
        <d v="1899-12-30T21:32:00"/>
        <d v="1899-12-30T11:08:00"/>
        <d v="1899-12-30T11:46:00"/>
        <d v="1899-12-30T12:34:00"/>
        <d v="1899-12-30T06:16:00"/>
        <d v="1899-12-30T06:30:00"/>
        <d v="1899-12-30T08:49:00"/>
        <d v="1899-12-30T10:37:00"/>
        <d v="1899-12-30T18:54:00"/>
        <d v="1899-12-30T21:48:00"/>
        <d v="1899-12-30T18:26:00"/>
        <d v="1899-12-30T13:34:00"/>
        <d v="1899-12-30T18:55:00"/>
        <d v="1899-12-30T05:41:00"/>
        <d v="1899-12-30T21:22:00"/>
        <d v="1899-12-30T22:03:00"/>
        <d v="1899-12-30T17:11:00"/>
        <d v="1899-12-30T19:17:00"/>
        <d v="1899-12-30T15:38:00"/>
        <d v="1899-12-30T14:47:00"/>
        <d v="1899-12-30T17:38:00"/>
        <d v="1899-12-30T00:03:00"/>
        <d v="1899-12-30T21:31:00"/>
        <d v="1899-12-30T19:51:00"/>
        <d v="1899-12-30T12:03:00"/>
        <d v="1899-12-30T12:07:00"/>
        <d v="1899-12-30T02:36:00"/>
        <d v="1899-12-30T10:58:00"/>
        <d v="1899-12-30T14:09:00"/>
        <d v="1899-12-30T23:28:00"/>
        <d v="1899-12-30T16:24:00"/>
        <d v="1899-12-30T17:43:00"/>
        <d v="1899-12-30T12:54:00"/>
        <d v="1899-12-30T17:31:00"/>
        <d v="1899-12-30T22:49:00"/>
        <d v="1899-12-30T15:44:00"/>
        <d v="1899-12-30T07:17:00"/>
        <d v="1899-12-30T14:16:00"/>
        <d v="1899-12-30T01:01:00"/>
        <d v="1899-12-30T05:14:00"/>
        <d v="1899-12-30T11:20:00"/>
        <d v="1899-12-30T22:51:00"/>
        <d v="1899-12-30T14:25:00"/>
        <d v="1899-12-30T08:47:00"/>
        <d v="1899-12-30T19:20:00"/>
        <d v="1899-12-30T09:09:00"/>
        <d v="1899-12-30T10:25:00"/>
        <d v="1899-12-30T16:15:00"/>
        <d v="1899-12-30T18:37:00"/>
        <d v="1899-12-30T17:16:00"/>
        <d v="1899-12-30T13:02:00"/>
        <d v="1899-12-30T22:32:00"/>
        <d v="1899-12-30T07:33:00"/>
        <d v="1899-12-30T07:39:00"/>
        <d v="1899-12-30T06:22:00"/>
        <d v="1899-12-30T23:24:00"/>
        <d v="1899-12-30T23:27:00"/>
        <d v="1899-12-30T05:47:00"/>
        <d v="1899-12-30T06:41:00"/>
        <d v="1899-12-30T08:28:00"/>
        <d v="1899-12-30T14:44:00"/>
        <d v="1899-12-30T14:46:00"/>
        <d v="1899-12-30T20:59:00"/>
        <d v="1899-12-30T17:02:00"/>
        <d v="1899-12-30T22:13:00"/>
        <d v="1899-12-30T22:04:00"/>
        <d v="1899-12-30T17:40:00"/>
        <d v="1899-12-30T11:43:00"/>
        <d v="1899-12-30T11:35:00"/>
        <d v="1899-12-30T17:12:00"/>
        <d v="1899-12-30T11:23:00"/>
        <d v="1899-12-30T17:20:00"/>
        <d v="1899-12-30T23:35:00"/>
        <d v="1899-12-30T11:34:00"/>
        <d v="1899-12-30T08:46:00"/>
        <d v="1899-12-30T13:29:00"/>
        <d v="1899-12-30T12:04:00"/>
        <d v="1899-12-30T10:15:00"/>
        <d v="1899-12-30T05:28:00"/>
        <d v="1899-12-30T21:23:00"/>
        <d v="1899-12-30T21:44:00"/>
        <d v="1899-12-30T06:59:00"/>
        <d v="1899-12-30T06:15:00"/>
        <d v="1899-12-30T21:10:00"/>
        <d v="1899-12-30T21:56:00"/>
        <d v="1899-12-30T21:09:00"/>
        <d v="1899-12-30T12:30:00"/>
        <d v="1899-12-30T18:15:00"/>
        <d v="1899-12-30T19:45:00"/>
        <d v="1899-12-30T19:22:00"/>
        <d v="1899-12-30T02:45:00"/>
        <d v="1899-12-30T20:07:00"/>
        <d v="1899-12-30T23:58:00"/>
        <d v="1899-12-30T19:25:00"/>
        <d v="1899-12-30T19:26:00"/>
        <d v="1899-12-30T06:10:00"/>
        <d v="1899-12-30T21:50:00"/>
        <d v="1899-12-30T19:35:00"/>
        <d v="1899-12-30T02:50:00"/>
        <d v="1899-12-30T02:33:00"/>
        <d v="1899-12-30T12:23:00"/>
        <d v="1899-12-30T14:26:00"/>
        <d v="1899-12-30T22:19:00"/>
        <d v="1899-12-30T23:13:00"/>
        <d v="1899-12-30T16:01:00"/>
        <d v="1899-12-30T23:42:00"/>
        <d v="1899-12-30T13:40:00"/>
        <d v="1899-12-30T22:02:00"/>
        <d v="1899-12-30T20:32:00"/>
        <d v="1899-12-30T08:07:00"/>
        <d v="1899-12-30T16:59:00"/>
        <d v="1899-12-30T11:55:00"/>
        <d v="1899-12-30T12:05:00"/>
        <d v="1899-12-30T17:36:00"/>
        <d v="1899-12-30T08:00:00"/>
        <d v="1899-12-30T09:47:00"/>
        <d v="1899-12-30T19:55:00"/>
        <d v="1899-12-30T10:22:00"/>
        <d v="1899-12-30T20:51:00"/>
        <d v="1899-12-30T09:01:00"/>
        <d v="1899-12-30T09:07:00"/>
        <d v="1899-12-30T16:31:00"/>
        <d v="1899-12-30T17:50:00"/>
        <d v="1899-12-30T11:29:00"/>
        <d v="1899-12-30T11:31:00"/>
        <d v="1899-12-30T13:27:00"/>
        <d v="1899-12-30T09:45:00"/>
        <d v="1899-12-30T23:45:00"/>
        <d v="1899-12-30T14:21:00"/>
        <d v="1899-12-30T21:27:00"/>
        <d v="1899-12-30T23:59:00"/>
        <d v="1899-12-30T20:57:00"/>
        <d v="1899-12-30T08:26:00"/>
        <d v="1899-12-30T01:03:00"/>
        <d v="1899-12-30T00:58:00"/>
        <d v="1899-12-30T18:33:00"/>
        <d v="1899-12-30T00:47:00"/>
        <d v="1899-12-30T11:14:00"/>
        <d v="1899-12-30T18:00:00"/>
        <d v="1899-12-30T02:00:00"/>
        <d v="1899-12-30T00:00:00"/>
        <d v="1899-12-30T16:57:00"/>
        <d v="1899-12-30T19:02:00"/>
        <d v="1899-12-30T02:15:00"/>
        <d v="1899-12-30T10:53:00"/>
        <d v="1899-12-30T20:53:00"/>
        <d v="1899-12-30T20:12:00"/>
        <d v="1899-12-30T18:49:00"/>
        <d v="1899-12-30T15:11:00"/>
        <d v="1899-12-30T08:37:00"/>
        <d v="1899-12-30T09:11:00"/>
        <d v="1899-12-30T10:18:00"/>
        <d v="1899-12-30T22:05:00"/>
        <d v="1899-12-30T10:12:00"/>
        <d v="1899-12-30T13:15:00"/>
        <d v="1899-12-30T09:00:00"/>
        <d v="1899-12-30T21:14:00"/>
        <d v="1899-12-30T22:27:00"/>
        <d v="1899-12-30T18:39:00"/>
        <d v="1899-12-30T18:32:00"/>
        <d v="1899-12-30T15:00:00"/>
        <d v="1899-12-30T07:55:00"/>
        <d v="1899-12-30T11:03:00"/>
        <d v="1899-12-30T08:19:00"/>
        <d v="1899-12-30T08:24:00"/>
        <d v="1899-12-30T00:48:00"/>
        <d v="1899-12-30T18:47:00"/>
        <d v="1899-12-30T09:16:00"/>
        <d v="1899-12-30T08:22:00"/>
        <d v="1899-12-30T14:30:00"/>
        <d v="1899-12-30T23:10:00"/>
        <d v="1899-12-30T07:53:00"/>
        <d v="1899-12-30T19:10:00"/>
        <d v="1899-12-30T14:33:00"/>
        <d v="1899-12-30T21:08:00"/>
        <d v="1899-12-30T19:15:00"/>
        <d v="1899-12-30T22:39:00"/>
        <d v="1899-12-30T12:58:00"/>
        <d v="1899-12-30T16:36:00"/>
        <d v="1899-12-30T19:24:00"/>
        <d v="1899-12-30T22:46:00"/>
        <d v="1899-12-30T01:29:00"/>
        <d v="1899-12-30T05:44:00"/>
        <d v="1899-12-30T22:01:00"/>
        <d v="1899-12-30T21:02:00"/>
        <d v="1899-12-30T21:40:00"/>
        <d v="1899-12-30T11:27:00"/>
        <d v="1899-12-30T10:14:00"/>
        <d v="1899-12-30T12:28:00"/>
        <d v="1899-12-30T11:24:00"/>
        <d v="1899-12-30T23:23:00"/>
        <d v="1899-12-30T05:06:00"/>
        <d v="1899-12-30T21:00:00"/>
        <d v="1899-12-30T23:04:00"/>
        <d v="1899-12-30T22:36:00"/>
        <d v="1899-12-30T23:37:00"/>
        <d v="1899-12-30T09:30:00"/>
        <d v="1899-12-30T11:18:00"/>
        <d v="1899-12-30T21:11:00"/>
        <d v="1899-12-30T07:21:00"/>
        <d v="1899-12-30T00:16:00"/>
        <d v="1899-12-30T09:49:00"/>
        <d v="1899-12-30T17:42:00"/>
        <d v="1899-12-30T12:10:00"/>
        <d v="1899-12-30T11:58:00"/>
        <d v="1899-12-30T16:38:00"/>
        <d v="1899-12-30T18:46:00"/>
        <d v="1899-12-30T02:46:00"/>
        <d v="1899-12-30T23:34:00"/>
        <d v="1899-12-30T20:25:00"/>
        <d v="1899-12-30T20:11:00"/>
        <d v="1899-12-30T21:04:00"/>
        <d v="1899-12-30T12:00:00"/>
        <d v="1899-12-30T07:03:00"/>
        <d v="1899-12-30T13:36:00"/>
        <d v="1899-12-30T19:06:00"/>
        <d v="1899-12-30T15:07:00"/>
        <d v="1899-12-30T07:10:00"/>
        <d v="1899-12-30T14:22:00"/>
        <d v="1899-12-30T22:53:00"/>
        <d v="1899-12-30T23:02:00"/>
        <d v="1899-12-30T22:56:00"/>
        <d v="1899-12-30T13:46:00"/>
        <d v="1899-12-30T12:44:00"/>
        <d v="1899-12-30T17:23:00"/>
        <d v="1899-12-30T15:14:00"/>
        <d v="1899-12-30T20:04:00"/>
        <d v="1899-12-30T09:50:00"/>
        <d v="1899-12-30T15:12:00"/>
        <d v="1899-12-30T17:27:00"/>
        <d v="1899-12-30T20:02:00"/>
        <d v="1899-12-30T17:56:00"/>
        <d v="1899-12-30T14:13:00"/>
        <d v="1899-12-30T21:36:00"/>
        <d v="1899-12-30T20:41:00"/>
        <d v="1899-12-30T15:15:00"/>
        <d v="1899-12-30T15:29:00"/>
        <d v="1899-12-30T11:13:00"/>
        <d v="1899-12-30T20:43:00"/>
        <d v="1899-12-30T22:07:00"/>
        <d v="1899-12-30T11:59:00"/>
        <d v="1899-12-30T12:53:00"/>
        <d v="1899-12-30T09:21:00"/>
        <d v="1899-12-30T23:16:00"/>
        <d v="1899-12-30T20:44:00"/>
        <d v="1899-12-30T19:58:00"/>
        <d v="1899-12-30T16:58:00"/>
        <d v="1899-12-30T11:21:00"/>
        <d v="1899-12-30T10:51:00"/>
        <d v="1899-12-30T18:28:00"/>
        <d v="1899-12-30T22:43:00"/>
        <d v="1899-12-30T20:58:00"/>
        <d v="1899-12-30T15:32:00"/>
        <d v="1899-12-30T15:42:00"/>
        <d v="1899-12-30T08:36:00"/>
        <d v="1899-12-30T23:55:00"/>
        <d v="1899-12-30T18:57:00"/>
        <d v="1899-12-30T01:02:00"/>
        <d v="1899-12-30T14:35:00"/>
        <d v="1899-12-30T13:24:00"/>
        <d v="1899-12-30T18:35:00"/>
        <d v="1899-12-30T16:04:00"/>
        <d v="1899-12-30T06:52:00"/>
        <d v="1899-12-30T16:19:00"/>
        <d v="1899-12-30T23:25:00"/>
        <d v="1899-12-30T23:50:00"/>
        <d v="1899-12-30T18:02:00"/>
        <d v="1899-12-30T09:57:00"/>
        <d v="1899-12-30T21:51:00"/>
        <d v="1899-12-30T17:09:00"/>
        <d v="1899-12-30T15:17:00"/>
        <d v="1899-12-30T00:40:00"/>
        <d v="1899-12-30T12:40:00"/>
        <d v="1899-12-30T17:13:00"/>
        <d v="1899-12-30T10:41:00"/>
        <d v="1899-12-30T16:45:00"/>
        <d v="1899-12-30T21:47:00"/>
        <d v="1899-12-30T05:21:00"/>
        <d v="1899-12-30T15:10:00"/>
        <d v="1899-12-30T06:20:00"/>
        <d v="1899-12-30T06:55:00"/>
        <d v="1899-12-30T09:25:00"/>
        <d v="1899-12-30T10:16:00"/>
        <d v="1899-12-30T22:26:00"/>
        <d v="1899-12-30T17:33:00"/>
        <d v="1899-12-30T19:28:00"/>
        <d v="1899-12-30T20:26:00"/>
        <d v="1899-12-30T12:12:00"/>
        <d v="1899-12-30T12:19:00"/>
        <d v="1899-12-30T12:20:00"/>
        <d v="1899-12-30T10:52:00"/>
        <d v="1899-12-30T18:05:00"/>
        <d v="1899-12-30T15:53:00"/>
        <d v="1899-12-30T11:05:00"/>
        <d v="1899-12-30T08:58:00"/>
        <d v="1899-12-30T14:02:00"/>
        <d v="1899-12-30T22:58:00"/>
        <d v="1899-12-30T01:58:00"/>
        <d v="1899-12-30T06:58:00"/>
        <d v="1899-12-30T06:50:00"/>
        <d v="1899-12-30T06:49:00"/>
        <d v="1899-12-30T23:09:00"/>
        <d v="1899-12-30T18:03:00"/>
        <d v="1899-12-30T18:06:00"/>
        <d v="1899-12-30T02:24:00"/>
        <d v="1899-12-30T01:51:00"/>
        <d v="1899-12-30T04:03:00"/>
        <d v="1899-12-30T03:31:00"/>
        <d v="1899-12-30T09:32:00"/>
        <d v="1899-12-30T15:24:00"/>
        <d v="1899-12-30T06:31:00"/>
        <d v="1899-12-30T23:11:00"/>
        <d v="1899-12-30T15:20:00"/>
        <d v="1899-12-30T15:52:00"/>
        <d v="1899-12-30T14:52:00"/>
        <d v="1899-12-30T22:52:00"/>
        <d v="1899-12-30T22:12:00"/>
        <d v="1899-12-30T04:59:00"/>
        <d v="1899-12-30T09:27:00"/>
        <d v="1899-12-30T18:17:00"/>
        <d v="1899-12-30T22:50:00"/>
        <d v="1899-12-30T22:55:00"/>
        <d v="1899-12-30T02:03:00"/>
        <d v="1899-12-30T14:20:00"/>
        <d v="1899-12-30T08:57:00"/>
        <d v="1899-12-30T11:54:00"/>
        <d v="1899-12-30T13:44:00"/>
        <d v="1899-12-30T21:17:00"/>
        <d v="1899-12-30T15:59:00"/>
        <d v="1899-12-30T21:42:00"/>
        <d v="1899-12-30T14:23:00"/>
        <d v="1899-12-30T13:54:00"/>
        <d v="1899-12-30T08:50:00"/>
        <d v="1899-12-30T22:35:00"/>
        <d v="1899-12-30T21:12:00"/>
        <d v="1899-12-30T15:39:00"/>
        <d v="1899-12-30T14:54:00"/>
        <d v="1899-12-30T21:33:00"/>
        <d v="1899-12-30T18:48:00"/>
        <d v="1899-12-30T11:07:00"/>
        <d v="1899-12-30T23:32:00"/>
        <d v="1899-12-30T06:44:00"/>
        <d v="1899-12-30T06:45:00"/>
        <d v="1899-12-30T11:00:00"/>
        <d v="1899-12-30T00:55:00"/>
        <d v="1899-12-30T21:18:00"/>
        <d v="1899-12-30T09:36:00"/>
        <d v="1899-12-30T17:10:00"/>
        <d v="1899-12-30T14:27:00"/>
        <d v="1899-12-30T22:38:00"/>
        <d v="1899-12-30T19:47:00"/>
        <d v="1899-12-30T22:45:00"/>
        <d v="1899-12-30T01:22:00"/>
        <d v="1899-12-30T18:31:00"/>
        <d v="1899-12-30T19:08:00"/>
        <d v="1899-12-30T15:08:00"/>
        <d v="1899-12-30T13:19:00"/>
        <d v="1899-12-30T15:13:00"/>
        <d v="1899-12-30T05:16:00"/>
        <d v="1899-12-30T12:49:00"/>
        <d v="1899-12-30T14:24:00"/>
        <d v="1899-12-30T00:19:00"/>
        <d v="1899-12-30T07:18:00"/>
        <d v="1899-12-30T10:56:00"/>
        <d v="1899-12-30T13:14:00"/>
        <d v="1899-12-30T22:16:00"/>
        <d v="1899-12-30T17:07:00"/>
        <d v="1899-12-30T06:57:00"/>
        <d v="1899-12-30T15:50:00"/>
        <d v="1899-12-30T17:44:00"/>
        <d v="1899-12-30T09:55:00"/>
        <m/>
      </sharedItems>
      <fieldGroup par="19"/>
    </cacheField>
    <cacheField name="Viewership.Duration 2" numFmtId="0">
      <sharedItems containsBlank="1" count="522">
        <s v="0.007013889"/>
        <s v="0.001076389"/>
        <s v="0.000115741"/>
        <s v="0.011979167"/>
        <s v="0.000844907"/>
        <s v="0.0078125"/>
        <s v="0.002916667"/>
        <s v="0.000856481"/>
        <s v="0.000578704"/>
        <s v="0.001180556"/>
        <s v="0"/>
        <s v="0.000300926"/>
        <s v="0.000277778"/>
        <s v="0.0128125"/>
        <s v="0.000555556"/>
        <s v="0.0015625"/>
        <s v="0.000833333"/>
        <s v="0.009270833"/>
        <s v="0.061898148"/>
        <s v="0.00125"/>
        <s v="0.000763889"/>
        <s v="0.00224537"/>
        <s v="0.014710648"/>
        <s v="0.003298611"/>
        <s v="0.000150463"/>
        <s v="0.0000694444"/>
        <s v="0.000532407"/>
        <s v="0.000173611"/>
        <s v="0.003819444"/>
        <s v="0.000659722"/>
        <s v="0.064259259"/>
        <s v="0.016018519"/>
        <s v="0.004282407"/>
        <s v="0.001018519"/>
        <s v="0.003125"/>
        <s v="0.002731481"/>
        <s v="0.002592593"/>
        <s v="0.000324074"/>
        <s v="0.0000925926"/>
        <s v="0.016064815"/>
        <s v="0.002013889"/>
        <s v="0.00119213"/>
        <s v="0.000162037"/>
        <s v="0.003391204"/>
        <s v="0.001111111"/>
        <s v="0.005173611"/>
        <s v="0.014340278"/>
        <s v="0.004351852"/>
        <s v="0.009247685"/>
        <s v="0.003912037"/>
        <s v="0.000381944"/>
        <s v="0.009861111"/>
        <s v="0.000729167"/>
        <s v="0.001678241"/>
        <s v="0.001689815"/>
        <s v="0.004479167"/>
        <s v="0.003425926"/>
        <s v="0.000486111"/>
        <s v="0.001770833"/>
        <s v="0.008796296"/>
        <s v="0.0028125"/>
        <s v="0.002523148"/>
        <s v="0.0034375"/>
        <s v="0.001875"/>
        <s v="0.000717593"/>
        <s v="0.001134259"/>
        <s v="0.001041667"/>
        <s v="0.018912037"/>
        <s v="0.001712963"/>
        <s v="0.000590278"/>
        <s v="0.000208333"/>
        <s v="0.016782407"/>
        <s v="0.072662037"/>
        <s v="0.000127315"/>
        <s v="0.006377315"/>
        <s v="0.00037037"/>
        <s v="0.004143519"/>
        <s v="0.004050926"/>
        <s v="0.00193287"/>
        <s v="0.046076389"/>
        <s v="0.003587963"/>
        <s v="0.009074074"/>
        <s v="0.009652778"/>
        <s v="0.006886574"/>
        <s v="0.058263889"/>
        <s v="0.000243056"/>
        <s v="0.004236111"/>
        <s v="0.055462963"/>
        <s v="0.032847222"/>
        <s v="0.0003125"/>
        <s v="0.000671296"/>
        <s v="0.000787037"/>
        <s v="0.001388889"/>
        <s v="0.000138889"/>
        <s v="0.000694444"/>
        <s v="0.000972222"/>
        <s v="0.020381944"/>
        <s v="0.010231481"/>
        <s v="0.002025463"/>
        <s v="0.011666667"/>
        <s v="0.000914352"/>
        <s v="0.000451389"/>
        <s v="0.001354167"/>
        <s v="0.000868056"/>
        <s v="0.002939815"/>
        <s v="0.001828704"/>
        <s v="0.002552083"/>
        <s v="0.000341435"/>
        <s v="0.000266204"/>
        <s v="0.000289352"/>
        <s v="0.000810185"/>
        <s v="0.00181713"/>
        <s v="0.0000462963"/>
        <s v="0.000185185"/>
        <s v="0.00787037"/>
        <s v="0.00025463"/>
        <s v="0.002905093"/>
        <s v="0.001805556"/>
        <s v="0.000347222"/>
        <s v="0.061493056"/>
        <s v="0.0000231481"/>
        <s v="0.003888889"/>
        <s v="0.002604167"/>
        <s v="0.034155093"/>
        <s v="0.017256944"/>
        <s v="0.005972222"/>
        <s v="0.006365741"/>
        <s v="0.011990741"/>
        <s v="0.0103125"/>
        <s v="0.000462963"/>
        <s v="0.002482639"/>
        <s v="0.002638889"/>
        <s v="0.016666667"/>
        <s v="0.004849537"/>
        <s v="0.002824074"/>
        <s v="0.001527778"/>
        <s v="0.013310185"/>
        <s v="0.000219907"/>
        <s v="0.000439815"/>
        <s v="0.006967593"/>
        <s v="0.023680556"/>
        <s v="0.053240741"/>
        <s v="0.025983796"/>
        <s v="0.000613426"/>
        <s v="0.075439815"/>
        <s v="0.001423611"/>
        <s v="0.038703704"/>
        <s v="0.012893519"/>
        <s v="0.020173611"/>
        <s v="0.00625"/>
        <s v="0.006296296"/>
        <s v="0.001273148"/>
        <s v="0.001435185"/>
        <s v="0.00099537"/>
        <s v="0.000104167"/>
        <s v="0.005480324"/>
        <s v="0.00337963"/>
        <s v="0.001400463"/>
        <s v="0.005954861"/>
        <s v="0.001458333"/>
        <s v="0.003541667"/>
        <s v="0.003576389"/>
        <s v="0.083194444"/>
        <s v="0.001226852"/>
        <s v="0.004340278"/>
        <s v="0.013263889"/>
        <s v="0.003611111"/>
        <s v="0.000925926"/>
        <s v="0.000960648"/>
        <s v="0.001371528"/>
        <s v="0.000648148"/>
        <s v="0.002800926"/>
        <s v="0.006979167"/>
        <s v="0.002430556"/>
        <s v="0.001203704"/>
        <s v="0.001597222"/>
        <s v="0.004201389"/>
        <s v="0.013715278"/>
        <s v="0.004131944"/>
        <s v="0.003275463"/>
        <s v="0.006597222"/>
        <s v="0.007326389"/>
        <s v="0.01775463"/>
        <s v="0.007986111"/>
        <s v="0.000231481"/>
        <s v="0.001024306"/>
        <s v="0.008715278"/>
        <s v="0.006990741"/>
        <s v="0.0000115741"/>
        <s v="0.004548611"/>
        <s v="0.001944444"/>
        <s v="0.064236111"/>
        <s v="0.001440972"/>
        <s v="0.000625"/>
        <s v="0.001643519"/>
        <s v="0.00791088"/>
        <s v="0.0000347222"/>
        <s v="0.003402778"/>
        <s v="0.000416667"/>
        <s v="0.026111111"/>
        <s v="0.00244213"/>
        <s v="0.003935185"/>
        <s v="0.001793981"/>
        <s v="0.009699074"/>
        <s v="0.027638889"/>
        <s v="0.00150463"/>
        <s v="0.001967593"/>
        <s v="0.001979167"/>
        <s v="0.015920139"/>
        <s v="0.002222222"/>
        <s v="0.002743056"/>
        <s v="0.003703704"/>
        <s v="0.003263889"/>
        <s v="0.000202546"/>
        <s v="0.0000810185"/>
        <s v="0.000196759"/>
        <s v="0.000515046"/>
        <s v="0.0000578704"/>
        <s v="0.004988426"/>
        <s v="0.008333333"/>
        <s v="0.010104167"/>
        <s v="0.040625"/>
        <s v="0.004537037"/>
        <s v="0.003171296"/>
        <s v="0.001921296"/>
        <s v="0.018935185"/>
        <s v="0.027268519"/>
        <s v="0.026944444"/>
        <s v="0.006574074"/>
        <s v="0.000335648"/>
        <s v="0.022094907"/>
        <s v="0.006458333"/>
        <s v="0.021597222"/>
        <s v="0.004155093"/>
        <s v="0.001493056"/>
        <s v="0.007824074"/>
        <s v="0.000358796"/>
        <s v="0.0009375"/>
        <s v="0.007743056"/>
        <s v="0.000190972"/>
        <s v="0.005543981"/>
        <s v="0.027939815"/>
        <s v="0.006157407"/>
        <s v="0.020034722"/>
        <s v="0.001006944"/>
        <s v="0.009826389"/>
        <s v="0.005601852"/>
        <s v="0.002569444"/>
        <s v="0.009791667"/>
        <s v="0.004930556"/>
        <s v="0.003333333"/>
        <s v="0.001585648"/>
        <s v="0.00255787"/>
        <s v="0.021643519"/>
        <s v="0.008946759"/>
        <s v="0.001087963"/>
        <s v="0.007118056"/>
        <s v="0.005439815"/>
        <s v="0.012152778"/>
        <s v="0.0000173611"/>
        <s v="0.016527778"/>
        <s v="0.005208333"/>
        <s v="0.010555556"/>
        <s v="0.003993056"/>
        <s v="0.006319444"/>
        <s v="0.009166667"/>
        <s v="0.000601852"/>
        <s v="0.001145833"/>
        <s v="0.001736111"/>
        <s v="0.000821759"/>
        <s v="0.00087963"/>
        <s v="0.000902778"/>
        <s v="0.030416667"/>
        <s v="0.085381944"/>
        <s v="0.012268519"/>
        <s v="0.010474537"/>
        <s v="0.004392361"/>
        <s v="0.002951389"/>
        <s v="0.001747685"/>
        <s v="0.004791667"/>
        <s v="0.005706019"/>
        <s v="0.085555556"/>
        <s v="0.016736111"/>
        <s v="0.010902778"/>
        <s v="0.000752315"/>
        <s v="0.001516204"/>
        <s v="0.021782407"/>
        <s v="0.030266204"/>
        <s v="0.005949074"/>
        <s v="0.003009259"/>
        <s v="0.014166667"/>
        <s v="0.010393519"/>
        <s v="0.006064815"/>
        <s v="0.002083333"/>
        <s v="0.0021875"/>
        <s v="0.030868056"/>
        <s v="0.001909722"/>
        <s v="0.004166667"/>
        <s v="0.001099537"/>
        <s v="0.000949074"/>
        <s v="0.003796296"/>
        <s v="0.000983796"/>
        <s v="0.002777778"/>
        <s v="0.01875"/>
        <s v="0.011550926"/>
        <s v="0.052152778"/>
        <s v="0.00662037"/>
        <s v="0.004826389"/>
        <s v="0.011365741"/>
        <s v="0.003483796"/>
        <s v="0.001365741"/>
        <s v="0.001296296"/>
        <s v="0.000636574"/>
        <s v="0.002395833"/>
        <s v="0.001319444"/>
        <s v="0.003055556"/>
        <s v="0.003148148"/>
        <s v="0.006805556"/>
        <s v="0.0053125"/>
        <s v="0.016041667"/>
        <s v="0.010601852"/>
        <s v="0.011354167"/>
        <s v="0.000318287"/>
        <s v="0.017152778"/>
        <s v="0.000509259"/>
        <s v="0.007534722"/>
        <s v="0.024664352"/>
        <s v="0.002847222"/>
        <s v="0.010972222"/>
        <s v="0.002152778"/>
        <s v="0.000584491"/>
        <s v="0.000798611"/>
        <s v="0.01375"/>
        <s v="0.00275463"/>
        <s v="0.012662037"/>
        <s v="0.011967593"/>
        <s v="0.200694444"/>
        <s v="0.013032407"/>
        <s v="0.015694444"/>
        <s v="0.001157407"/>
        <s v="0.000497685"/>
        <s v="0.017881944"/>
        <s v="0.009201389"/>
        <s v="0.042013889"/>
        <s v="0.007060185"/>
        <s v="0.001886574"/>
        <s v="0.008055556"/>
        <s v="0.001903935"/>
        <s v="0.003472222"/>
        <s v="0.003680556"/>
        <s v="0.001701389"/>
        <s v="0.01119213"/>
        <s v="0.003761574"/>
        <s v="0.001342593"/>
        <s v="0.0000752315"/>
        <s v="0.000428241"/>
        <s v="0.00287037"/>
        <s v="0.012962963"/>
        <s v="0.005590278"/>
        <s v="0.016354167"/>
        <s v="0.036736111"/>
        <s v="0.005798611"/>
        <s v="0.002372685"/>
        <s v="0.000607639"/>
        <s v="0.006712963"/>
        <s v="0.001666667"/>
        <s v="0.005659722"/>
        <s v="0.005138889"/>
        <s v="0.007644676"/>
        <s v="0.006493056"/>
        <s v="0.00412037"/>
        <s v="0.005451389"/>
        <s v="0.004097222"/>
        <s v="0.001898148"/>
        <s v="0.000706019"/>
        <s v="0.03162037"/>
        <s v="0.125833333"/>
        <s v="0.031215278"/>
        <s v="0.004305556"/>
        <s v="0.009814815"/>
        <s v="0.004270833"/>
        <s v="0.011828704"/>
        <s v="0.000445602"/>
        <s v="0.00380787"/>
        <s v="0.004675926"/>
        <s v="0.000133102"/>
        <s v="0.022083333"/>
        <s v="0.005046296"/>
        <s v="0.004386574"/>
        <s v="0.006875"/>
        <s v="0.007199074"/>
        <s v="0.001215278"/>
        <s v="0.00078125"/>
        <s v="0.00375"/>
        <s v="0.000520833"/>
        <s v="0.005104167"/>
        <s v="0.024861111"/>
        <s v="0.007546296"/>
        <s v="0.007303241"/>
        <s v="0.013703704"/>
        <s v="0.010196759"/>
        <s v="0.000405093"/>
        <s v="0.002581019"/>
        <s v="0.000711806"/>
        <s v="0.001412037"/>
        <s v="0.001064815"/>
        <s v="0.000283565"/>
        <s v="0.004768519"/>
        <s v="0.010081019"/>
        <s v="0.025729167"/>
        <s v="0.001782407"/>
        <s v="0.002685185"/>
        <s v="0.020902778"/>
        <s v="0.003854167"/>
        <s v="0.018263889"/>
        <s v="0.011064815"/>
        <s v="0.014953704"/>
        <s v="0.006527778"/>
        <s v="0.0000289352"/>
        <s v="0.000775463"/>
        <s v="0.001122685"/>
        <s v="0.037222222"/>
        <s v="0.004583333"/>
        <s v="0.0334375"/>
        <s v="0.013506944"/>
        <s v="0.00443287"/>
        <s v="0.006354167"/>
        <s v="0.02255787"/>
        <s v="0.006921296"/>
        <s v="0.030115741"/>
        <s v="0.006863426"/>
        <s v="0.0025"/>
        <s v="0.016458333"/>
        <s v="0.059328704"/>
        <s v="0.013449074"/>
        <s v="0.001851852"/>
        <s v="0.072268519"/>
        <s v="0.004560185"/>
        <s v="0.114907407"/>
        <s v="0.005034722"/>
        <s v="0.00400463"/>
        <s v="0.015196759"/>
        <s v="0.003229167"/>
        <s v="0.002615741"/>
        <s v="0.006435185"/>
        <s v="0.005509259"/>
        <s v="0.014282407"/>
        <s v="0.005497685"/>
        <s v="0.00021412"/>
        <s v="0.002662037"/>
        <s v="0.020914352"/>
        <s v="0.013194444"/>
        <s v="0.010462963"/>
        <s v="0.002361111"/>
        <s v="0.004444444"/>
        <s v="0.000792824"/>
        <s v="0.034618056"/>
        <s v="0.022395833"/>
        <s v="0.002384259"/>
        <s v="0.043819444"/>
        <s v="0.005190972"/>
        <s v="0.002986111"/>
        <s v="0.011388889"/>
        <s v="0.004814815"/>
        <s v="0.023310185"/>
        <s v="0.005856481"/>
        <s v="0.00525463"/>
        <s v="0.039456019"/>
        <s v="0.020844907"/>
        <s v="0.025173611"/>
        <s v="0.006111111"/>
        <s v="0.018958333"/>
        <s v="0.003188657"/>
        <s v="0.046527778"/>
        <s v="0.01099537"/>
        <s v="0.039976852"/>
        <s v="0.026388889"/>
        <s v="0.001631944"/>
        <s v="0.002326389"/>
        <s v="0.003078704"/>
        <s v="0.0000520833"/>
        <s v="0.001840278"/>
        <s v="0.013796296"/>
        <s v="0.01650463"/>
        <s v="0.001498843"/>
        <s v="0.012048611"/>
        <s v="0.00162037"/>
        <s v="0.001030093"/>
        <s v="0.000387731"/>
        <s v="0.002060185"/>
        <s v="0.001429398"/>
        <s v="0.001822917"/>
        <s v="0.009444444"/>
        <s v="0.011782407"/>
        <s v="0.009027778"/>
        <s v="0.003657407"/>
        <s v="0.023078704"/>
        <s v="0.001574074"/>
        <s v="0.009282407"/>
        <s v="0.014884259"/>
        <s v="0.005277778"/>
        <s v="0.02162037"/>
        <s v="0.011898148"/>
        <s v="0.016388889"/>
        <s v="0.009398148"/>
        <s v="0.008518519"/>
        <s v="0.00068287"/>
        <s v="0.01412037"/>
        <s v="0.041828704"/>
        <s v="0.017060185"/>
        <s v="0.027731481"/>
        <s v="0.101550926"/>
        <s v="0.0000636574"/>
        <s v="0.001550926"/>
        <s v="0.030069444"/>
        <s v="0.000393519"/>
        <s v="0.00056713"/>
        <s v="0.000665509"/>
        <s v="0.017158565"/>
        <s v="0.001869213"/>
        <s v="0.039334491"/>
        <m/>
      </sharedItems>
    </cacheField>
    <cacheField name="Viewership.userid2" numFmtId="0">
      <sharedItems containsString="0" containsBlank="1" containsNumber="1" containsInteger="1" minValue="1373" maxValue="809230"/>
    </cacheField>
    <cacheField name="Column1" numFmtId="0">
      <sharedItems containsBlank="1"/>
    </cacheField>
    <cacheField name="Minutes (Viewership.Time)" numFmtId="0" databaseField="0">
      <fieldGroup base="14">
        <rangePr groupBy="minutes" startDate="1899-12-30T00:00:00" endDate="1899-12-30T23:59:00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Viewership.Time)" numFmtId="0" databaseField="0">
      <fieldGroup base="14">
        <rangePr groupBy="hours" startDate="1899-12-30T00:00:00" endDate="1899-12-30T23:59:00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91"/>
  </r>
  <r>
    <x v="1"/>
    <n v="87"/>
  </r>
  <r>
    <x v="2"/>
    <n v="6"/>
  </r>
  <r>
    <x v="3"/>
    <n v="85"/>
  </r>
  <r>
    <x v="4"/>
    <n v="154"/>
  </r>
  <r>
    <x v="5"/>
    <n v="39"/>
  </r>
  <r>
    <x v="6"/>
    <n v="17"/>
  </r>
  <r>
    <x v="7"/>
    <n v="27"/>
  </r>
  <r>
    <x v="8"/>
    <n v="83"/>
  </r>
  <r>
    <x v="9"/>
    <n v="4"/>
  </r>
  <r>
    <x v="10"/>
    <n v="1"/>
  </r>
  <r>
    <x v="11"/>
    <n v="2"/>
  </r>
  <r>
    <x v="12"/>
    <n v="14"/>
  </r>
  <r>
    <x v="13"/>
    <n v="22"/>
  </r>
  <r>
    <x v="14"/>
    <n v="91"/>
  </r>
  <r>
    <x v="15"/>
    <n v="155"/>
  </r>
  <r>
    <x v="16"/>
    <n v="114"/>
  </r>
  <r>
    <x v="17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802352"/>
    <s v="None"/>
    <s v="None"/>
    <s v="Shelley 34@abcmail.com"/>
    <x v="0"/>
    <x v="0"/>
    <x v="0"/>
    <x v="0"/>
    <x v="0"/>
    <n v="802352"/>
    <x v="0"/>
    <d v="2016-03-30T11:04:00"/>
    <d v="2016-03-30T00:00:00"/>
    <d v="2016-03-30T00:00:00"/>
    <x v="0"/>
    <x v="0"/>
    <n v="802352"/>
    <s v="null"/>
  </r>
  <r>
    <n v="793571"/>
    <s v="Shelley "/>
    <s v="Reisinger"/>
    <s v="Shelley 234@abcmail.com"/>
    <x v="1"/>
    <x v="1"/>
    <x v="1"/>
    <x v="1"/>
    <x v="1"/>
    <n v="793571"/>
    <x v="1"/>
    <d v="2016-02-02T19:18:00"/>
    <d v="2016-02-02T00:00:00"/>
    <d v="2016-02-02T00:00:00"/>
    <x v="1"/>
    <x v="1"/>
    <n v="793571"/>
    <s v="null"/>
  </r>
  <r>
    <n v="793571"/>
    <s v="Shelley "/>
    <s v="Reisinger"/>
    <s v="Shelley 234@abcmail.com"/>
    <x v="1"/>
    <x v="1"/>
    <x v="1"/>
    <x v="1"/>
    <x v="1"/>
    <n v="793571"/>
    <x v="2"/>
    <d v="2016-03-18T18:56:00"/>
    <d v="2016-03-18T00:00:00"/>
    <d v="2016-03-18T00:00:00"/>
    <x v="2"/>
    <x v="2"/>
    <n v="793571"/>
    <s v="null"/>
  </r>
  <r>
    <n v="793571"/>
    <s v="Shelley "/>
    <s v="Reisinger"/>
    <s v="Shelley 234@abcmail.com"/>
    <x v="1"/>
    <x v="1"/>
    <x v="1"/>
    <x v="1"/>
    <x v="1"/>
    <n v="793571"/>
    <x v="3"/>
    <d v="2016-03-20T06:25:00"/>
    <d v="2016-03-20T00:00:00"/>
    <d v="2016-03-20T00:00:00"/>
    <x v="3"/>
    <x v="3"/>
    <n v="793571"/>
    <s v="null"/>
  </r>
  <r>
    <n v="793571"/>
    <s v="Shelley "/>
    <s v="Reisinger"/>
    <s v="Shelley 234@abcmail.com"/>
    <x v="1"/>
    <x v="1"/>
    <x v="1"/>
    <x v="1"/>
    <x v="1"/>
    <n v="793571"/>
    <x v="2"/>
    <d v="2016-02-03T08:43:00"/>
    <d v="2016-02-03T00:00:00"/>
    <d v="2016-02-03T00:00:00"/>
    <x v="4"/>
    <x v="4"/>
    <n v="793571"/>
    <s v="null"/>
  </r>
  <r>
    <n v="787656"/>
    <s v="Garry "/>
    <s v="Sytsma"/>
    <s v="Garry 284@abcmail.com"/>
    <x v="2"/>
    <x v="2"/>
    <x v="2"/>
    <x v="2"/>
    <x v="2"/>
    <n v="787656"/>
    <x v="3"/>
    <d v="2016-02-15T10:40:00"/>
    <d v="2016-02-15T00:00:00"/>
    <d v="2016-02-15T00:00:00"/>
    <x v="5"/>
    <x v="5"/>
    <n v="787656"/>
    <s v="null"/>
  </r>
  <r>
    <n v="771778"/>
    <s v="Yong "/>
    <s v="Paradis"/>
    <s v="Yong 484@abcmail.com"/>
    <x v="2"/>
    <x v="2"/>
    <x v="3"/>
    <x v="1"/>
    <x v="3"/>
    <n v="771778"/>
    <x v="4"/>
    <d v="2016-02-05T15:47:00"/>
    <d v="2016-02-05T00:00:00"/>
    <d v="2016-02-05T00:00:00"/>
    <x v="6"/>
    <x v="6"/>
    <n v="771778"/>
    <s v="null"/>
  </r>
  <r>
    <n v="808915"/>
    <s v="Cory "/>
    <s v="Mcclaine"/>
    <s v="Cory 105@mailxyz.com"/>
    <x v="2"/>
    <x v="2"/>
    <x v="4"/>
    <x v="3"/>
    <x v="4"/>
    <n v="808915"/>
    <x v="5"/>
    <d v="2016-02-20T07:34:00"/>
    <d v="2016-02-20T00:00:00"/>
    <d v="2016-02-20T00:00:00"/>
    <x v="7"/>
    <x v="7"/>
    <n v="808915"/>
    <s v="null"/>
  </r>
  <r>
    <n v="808915"/>
    <s v="Cory "/>
    <s v="Mcclaine"/>
    <s v="Cory 105@mailxyz.com"/>
    <x v="2"/>
    <x v="2"/>
    <x v="4"/>
    <x v="3"/>
    <x v="4"/>
    <n v="808915"/>
    <x v="4"/>
    <d v="2016-02-21T15:45:00"/>
    <d v="2016-02-21T00:00:00"/>
    <d v="2016-02-21T00:00:00"/>
    <x v="8"/>
    <x v="8"/>
    <n v="808915"/>
    <s v="null"/>
  </r>
  <r>
    <n v="808916"/>
    <s v="Donald "/>
    <s v="Zweifel"/>
    <s v="Donald 224@abcmail.com"/>
    <x v="2"/>
    <x v="0"/>
    <x v="5"/>
    <x v="4"/>
    <x v="5"/>
    <n v="808916"/>
    <x v="6"/>
    <d v="2016-02-19T13:03:00"/>
    <d v="2016-02-19T00:00:00"/>
    <d v="2016-02-19T00:00:00"/>
    <x v="9"/>
    <x v="9"/>
    <n v="808916"/>
    <s v="null"/>
  </r>
  <r>
    <n v="808916"/>
    <s v="Donald "/>
    <s v="Zweifel"/>
    <s v="Donald 224@abcmail.com"/>
    <x v="2"/>
    <x v="0"/>
    <x v="5"/>
    <x v="4"/>
    <x v="5"/>
    <n v="808916"/>
    <x v="2"/>
    <d v="2016-02-19T22:15:00"/>
    <d v="2016-02-19T00:00:00"/>
    <d v="2016-02-19T00:00:00"/>
    <x v="10"/>
    <x v="10"/>
    <n v="808916"/>
    <s v="null"/>
  </r>
  <r>
    <n v="808917"/>
    <s v="Carter "/>
    <s v="Tatham"/>
    <s v="Carter 34@abcmail.com"/>
    <x v="2"/>
    <x v="2"/>
    <x v="6"/>
    <x v="2"/>
    <x v="6"/>
    <n v="808917"/>
    <x v="7"/>
    <d v="2016-02-27T20:13:00"/>
    <d v="2016-02-27T00:00:00"/>
    <d v="2016-02-27T00:00:00"/>
    <x v="11"/>
    <x v="11"/>
    <n v="808917"/>
    <s v="null"/>
  </r>
  <r>
    <n v="808917"/>
    <s v="Carter "/>
    <s v="Tatham"/>
    <s v="Carter 34@abcmail.com"/>
    <x v="2"/>
    <x v="2"/>
    <x v="6"/>
    <x v="2"/>
    <x v="6"/>
    <n v="808917"/>
    <x v="4"/>
    <d v="2016-02-28T22:20:00"/>
    <d v="2016-02-28T00:00:00"/>
    <d v="2016-02-28T00:00:00"/>
    <x v="12"/>
    <x v="12"/>
    <n v="808917"/>
    <s v="null"/>
  </r>
  <r>
    <n v="808921"/>
    <s v="Filiberto "/>
    <s v="Pilot"/>
    <s v="Filiberto 44@abcmail.com"/>
    <x v="2"/>
    <x v="2"/>
    <x v="7"/>
    <x v="5"/>
    <x v="7"/>
    <n v="808921"/>
    <x v="8"/>
    <d v="2016-03-02T08:01:00"/>
    <d v="2016-03-02T00:00:00"/>
    <d v="2016-03-02T00:00:00"/>
    <x v="13"/>
    <x v="13"/>
    <n v="808921"/>
    <s v="null"/>
  </r>
  <r>
    <n v="808921"/>
    <s v="Filiberto "/>
    <s v="Pilot"/>
    <s v="Filiberto 44@abcmail.com"/>
    <x v="2"/>
    <x v="2"/>
    <x v="7"/>
    <x v="5"/>
    <x v="7"/>
    <n v="808921"/>
    <x v="3"/>
    <d v="2016-03-06T17:58:00"/>
    <d v="2016-03-06T00:00:00"/>
    <d v="2016-03-06T00:00:00"/>
    <x v="14"/>
    <x v="14"/>
    <n v="808921"/>
    <s v="null"/>
  </r>
  <r>
    <n v="761775"/>
    <s v="Stacy "/>
    <s v="Mcculloch"/>
    <s v="Stacy 271@yahoo.com"/>
    <x v="2"/>
    <x v="0"/>
    <x v="7"/>
    <x v="2"/>
    <x v="8"/>
    <n v="761775"/>
    <x v="9"/>
    <d v="2016-02-04T16:12:00"/>
    <d v="2016-02-04T00:00:00"/>
    <d v="2016-02-04T00:00:00"/>
    <x v="15"/>
    <x v="15"/>
    <n v="761775"/>
    <s v="null"/>
  </r>
  <r>
    <n v="761775"/>
    <s v="Stacy "/>
    <s v="Mcculloch"/>
    <s v="Stacy 271@yahoo.com"/>
    <x v="2"/>
    <x v="0"/>
    <x v="7"/>
    <x v="2"/>
    <x v="8"/>
    <n v="761775"/>
    <x v="5"/>
    <d v="2016-01-25T17:59:00"/>
    <d v="2016-01-25T00:00:00"/>
    <d v="2016-01-25T00:00:00"/>
    <x v="16"/>
    <x v="7"/>
    <n v="761775"/>
    <s v="null"/>
  </r>
  <r>
    <n v="808923"/>
    <s v="Art "/>
    <s v="Nicholls"/>
    <s v="Art 405@mailxyz.com"/>
    <x v="2"/>
    <x v="3"/>
    <x v="8"/>
    <x v="1"/>
    <x v="9"/>
    <n v="808923"/>
    <x v="5"/>
    <d v="2016-02-21T20:03:00"/>
    <d v="2016-02-21T00:00:00"/>
    <d v="2016-02-21T00:00:00"/>
    <x v="17"/>
    <x v="16"/>
    <n v="808923"/>
    <s v="null"/>
  </r>
  <r>
    <n v="808923"/>
    <s v="Art "/>
    <s v="Nicholls"/>
    <s v="Art 405@mailxyz.com"/>
    <x v="2"/>
    <x v="3"/>
    <x v="8"/>
    <x v="1"/>
    <x v="9"/>
    <n v="808923"/>
    <x v="8"/>
    <d v="2016-02-17T20:45:00"/>
    <d v="2016-02-17T00:00:00"/>
    <d v="2016-02-17T00:00:00"/>
    <x v="18"/>
    <x v="17"/>
    <n v="808923"/>
    <s v="null"/>
  </r>
  <r>
    <n v="808926"/>
    <s v="Bret "/>
    <s v="Mccollum"/>
    <s v="Bret 313@mail.com"/>
    <x v="2"/>
    <x v="4"/>
    <x v="9"/>
    <x v="4"/>
    <x v="10"/>
    <n v="808926"/>
    <x v="4"/>
    <d v="2016-02-19T09:20:00"/>
    <d v="2016-02-19T00:00:00"/>
    <d v="2016-02-19T00:00:00"/>
    <x v="19"/>
    <x v="18"/>
    <n v="808926"/>
    <s v="null"/>
  </r>
  <r>
    <n v="808926"/>
    <s v="Bret "/>
    <s v="Mccollum"/>
    <s v="Bret 313@mail.com"/>
    <x v="2"/>
    <x v="4"/>
    <x v="9"/>
    <x v="4"/>
    <x v="10"/>
    <n v="808926"/>
    <x v="3"/>
    <d v="2016-02-21T08:27:00"/>
    <d v="2016-02-21T00:00:00"/>
    <d v="2016-02-21T00:00:00"/>
    <x v="20"/>
    <x v="19"/>
    <n v="808926"/>
    <s v="null"/>
  </r>
  <r>
    <n v="808926"/>
    <s v="Bret "/>
    <s v="Mccollum"/>
    <s v="Bret 313@mail.com"/>
    <x v="2"/>
    <x v="4"/>
    <x v="9"/>
    <x v="4"/>
    <x v="10"/>
    <n v="808926"/>
    <x v="8"/>
    <d v="2016-02-02T12:17:00"/>
    <d v="2016-02-02T00:00:00"/>
    <d v="2016-02-02T00:00:00"/>
    <x v="21"/>
    <x v="20"/>
    <n v="808926"/>
    <s v="null"/>
  </r>
  <r>
    <n v="808926"/>
    <s v="Bret "/>
    <s v="Mccollum"/>
    <s v="Bret 313@mail.com"/>
    <x v="2"/>
    <x v="4"/>
    <x v="9"/>
    <x v="4"/>
    <x v="10"/>
    <n v="808926"/>
    <x v="4"/>
    <d v="2016-02-25T08:38:00"/>
    <d v="2016-02-25T00:00:00"/>
    <d v="2016-02-25T00:00:00"/>
    <x v="22"/>
    <x v="21"/>
    <n v="808926"/>
    <s v="null"/>
  </r>
  <r>
    <n v="808926"/>
    <s v="Bret "/>
    <s v="Mccollum"/>
    <s v="Bret 313@mail.com"/>
    <x v="2"/>
    <x v="4"/>
    <x v="9"/>
    <x v="4"/>
    <x v="10"/>
    <n v="808926"/>
    <x v="9"/>
    <d v="2016-02-18T14:00:00"/>
    <d v="2016-02-18T00:00:00"/>
    <d v="2016-02-18T00:00:00"/>
    <x v="23"/>
    <x v="22"/>
    <n v="808926"/>
    <s v="null"/>
  </r>
  <r>
    <n v="771783"/>
    <s v="Len "/>
    <s v="Pascarella"/>
    <s v="Len 442@gmail.com"/>
    <x v="2"/>
    <x v="5"/>
    <x v="8"/>
    <x v="2"/>
    <x v="11"/>
    <n v="771783"/>
    <x v="8"/>
    <d v="2016-02-01T14:51:00"/>
    <d v="2016-02-01T00:00:00"/>
    <d v="2016-02-01T00:00:00"/>
    <x v="24"/>
    <x v="23"/>
    <n v="771783"/>
    <s v="null"/>
  </r>
  <r>
    <n v="771783"/>
    <s v="Len "/>
    <s v="Pascarella"/>
    <s v="Len 442@gmail.com"/>
    <x v="2"/>
    <x v="5"/>
    <x v="8"/>
    <x v="2"/>
    <x v="11"/>
    <n v="771783"/>
    <x v="1"/>
    <d v="2016-01-30T23:43:00"/>
    <d v="2016-01-30T00:00:00"/>
    <d v="2016-01-30T00:00:00"/>
    <x v="25"/>
    <x v="24"/>
    <n v="771783"/>
    <s v="null"/>
  </r>
  <r>
    <n v="788616"/>
    <s v="Winona "/>
    <s v="Wigfall"/>
    <s v="Winona 482@gmail.com"/>
    <x v="1"/>
    <x v="2"/>
    <x v="10"/>
    <x v="2"/>
    <x v="12"/>
    <n v="788616"/>
    <x v="5"/>
    <d v="2016-01-27T14:03:00"/>
    <d v="2016-01-27T00:00:00"/>
    <d v="2016-01-27T00:00:00"/>
    <x v="26"/>
    <x v="25"/>
    <n v="788616"/>
    <s v="null"/>
  </r>
  <r>
    <n v="771785"/>
    <s v="Kip "/>
    <s v="Martello"/>
    <s v="Kip 141@yahoo.com"/>
    <x v="2"/>
    <x v="2"/>
    <x v="5"/>
    <x v="2"/>
    <x v="13"/>
    <n v="771785"/>
    <x v="0"/>
    <d v="2016-02-28T18:53:00"/>
    <d v="2016-02-28T00:00:00"/>
    <d v="2016-02-28T00:00:00"/>
    <x v="27"/>
    <x v="26"/>
    <n v="771785"/>
    <s v="null"/>
  </r>
  <r>
    <n v="630977"/>
    <s v="Stacy "/>
    <s v="Wigfall"/>
    <s v="Stacy 274@abcmail.com"/>
    <x v="2"/>
    <x v="4"/>
    <x v="11"/>
    <x v="2"/>
    <x v="8"/>
    <n v="630977"/>
    <x v="8"/>
    <d v="2016-01-16T11:52:00"/>
    <d v="2016-01-16T00:00:00"/>
    <d v="2016-01-16T00:00:00"/>
    <x v="28"/>
    <x v="27"/>
    <n v="630977"/>
    <s v="null"/>
  </r>
  <r>
    <n v="808928"/>
    <s v="Hugh"/>
    <s v="Borelli"/>
    <s v="Hugh13@mail.com"/>
    <x v="2"/>
    <x v="2"/>
    <x v="12"/>
    <x v="2"/>
    <x v="14"/>
    <n v="808928"/>
    <x v="3"/>
    <d v="2016-02-13T21:35:00"/>
    <d v="2016-02-13T00:00:00"/>
    <d v="2016-02-13T00:00:00"/>
    <x v="29"/>
    <x v="28"/>
    <n v="808928"/>
    <s v="null"/>
  </r>
  <r>
    <n v="808928"/>
    <s v="Hugh"/>
    <s v="Borelli"/>
    <s v="Hugh13@mail.com"/>
    <x v="2"/>
    <x v="2"/>
    <x v="12"/>
    <x v="2"/>
    <x v="14"/>
    <n v="808928"/>
    <x v="0"/>
    <d v="2016-03-01T14:15:00"/>
    <d v="2016-03-01T00:00:00"/>
    <d v="2016-03-01T00:00:00"/>
    <x v="30"/>
    <x v="10"/>
    <n v="808928"/>
    <s v="null"/>
  </r>
  <r>
    <n v="808929"/>
    <s v="Winona "/>
    <s v="Wigfall"/>
    <s v="Winona 141@yahoo.com"/>
    <x v="1"/>
    <x v="2"/>
    <x v="13"/>
    <x v="1"/>
    <x v="15"/>
    <n v="808929"/>
    <x v="10"/>
    <d v="2016-01-11T20:18:00"/>
    <d v="2016-01-11T00:00:00"/>
    <d v="2016-01-11T00:00:00"/>
    <x v="31"/>
    <x v="29"/>
    <n v="808929"/>
    <s v="null"/>
  </r>
  <r>
    <n v="808929"/>
    <s v="Winona "/>
    <s v="Wigfall"/>
    <s v="Winona 141@yahoo.com"/>
    <x v="1"/>
    <x v="2"/>
    <x v="13"/>
    <x v="1"/>
    <x v="15"/>
    <n v="808929"/>
    <x v="9"/>
    <d v="2016-01-24T20:35:00"/>
    <d v="2016-01-24T00:00:00"/>
    <d v="2016-01-24T00:00:00"/>
    <x v="32"/>
    <x v="30"/>
    <n v="808929"/>
    <s v="null"/>
  </r>
  <r>
    <n v="770963"/>
    <s v="None"/>
    <s v="None"/>
    <s v="Roxane 52@gmail.com"/>
    <x v="0"/>
    <x v="0"/>
    <x v="0"/>
    <x v="0"/>
    <x v="0"/>
    <n v="770963"/>
    <x v="4"/>
    <d v="2016-03-24T11:45:00"/>
    <d v="2016-03-24T00:00:00"/>
    <d v="2016-03-24T00:00:00"/>
    <x v="33"/>
    <x v="31"/>
    <n v="770963"/>
    <s v="null"/>
  </r>
  <r>
    <n v="770963"/>
    <s v="None"/>
    <s v="None"/>
    <s v="Roxane 52@gmail.com"/>
    <x v="0"/>
    <x v="0"/>
    <x v="0"/>
    <x v="0"/>
    <x v="0"/>
    <n v="770963"/>
    <x v="0"/>
    <d v="2016-02-25T11:28:00"/>
    <d v="2016-02-25T00:00:00"/>
    <d v="2016-02-25T00:00:00"/>
    <x v="34"/>
    <x v="32"/>
    <n v="770963"/>
    <s v="null"/>
  </r>
  <r>
    <n v="808930"/>
    <s v="Claud "/>
    <s v="Marek"/>
    <s v="Claud 345@mailxyz.com"/>
    <x v="2"/>
    <x v="5"/>
    <x v="12"/>
    <x v="6"/>
    <x v="16"/>
    <n v="808930"/>
    <x v="4"/>
    <d v="2016-02-22T10:29:00"/>
    <d v="2016-02-22T00:00:00"/>
    <d v="2016-02-22T00:00:00"/>
    <x v="35"/>
    <x v="33"/>
    <n v="808930"/>
    <s v="null"/>
  </r>
  <r>
    <n v="808930"/>
    <s v="Claud "/>
    <s v="Marek"/>
    <s v="Claud 345@mailxyz.com"/>
    <x v="2"/>
    <x v="5"/>
    <x v="12"/>
    <x v="6"/>
    <x v="16"/>
    <n v="808930"/>
    <x v="0"/>
    <d v="2016-03-02T11:38:00"/>
    <d v="2016-03-02T00:00:00"/>
    <d v="2016-03-02T00:00:00"/>
    <x v="36"/>
    <x v="34"/>
    <n v="808930"/>
    <s v="null"/>
  </r>
  <r>
    <n v="808930"/>
    <s v="Claud "/>
    <s v="Marek"/>
    <s v="Claud 345@mailxyz.com"/>
    <x v="2"/>
    <x v="5"/>
    <x v="12"/>
    <x v="6"/>
    <x v="16"/>
    <n v="808930"/>
    <x v="0"/>
    <d v="2016-03-11T10:40:00"/>
    <d v="2016-03-11T00:00:00"/>
    <d v="2016-03-11T00:00:00"/>
    <x v="5"/>
    <x v="10"/>
    <n v="808930"/>
    <s v="null"/>
  </r>
  <r>
    <n v="808930"/>
    <s v="Claud "/>
    <s v="Marek"/>
    <s v="Claud 345@mailxyz.com"/>
    <x v="2"/>
    <x v="5"/>
    <x v="12"/>
    <x v="6"/>
    <x v="16"/>
    <n v="808930"/>
    <x v="0"/>
    <d v="2016-02-24T13:23:00"/>
    <d v="2016-02-24T00:00:00"/>
    <d v="2016-02-24T00:00:00"/>
    <x v="37"/>
    <x v="35"/>
    <n v="808930"/>
    <s v="null"/>
  </r>
  <r>
    <n v="808930"/>
    <s v="Claud "/>
    <s v="Marek"/>
    <s v="Claud 345@mailxyz.com"/>
    <x v="2"/>
    <x v="5"/>
    <x v="12"/>
    <x v="6"/>
    <x v="16"/>
    <n v="808930"/>
    <x v="0"/>
    <d v="2016-02-24T10:33:00"/>
    <d v="2016-02-24T00:00:00"/>
    <d v="2016-02-24T00:00:00"/>
    <x v="38"/>
    <x v="36"/>
    <n v="808930"/>
    <s v="null"/>
  </r>
  <r>
    <n v="808930"/>
    <s v="Claud "/>
    <s v="Marek"/>
    <s v="Claud 345@mailxyz.com"/>
    <x v="2"/>
    <x v="5"/>
    <x v="12"/>
    <x v="6"/>
    <x v="16"/>
    <n v="808930"/>
    <x v="4"/>
    <d v="2016-02-27T19:11:00"/>
    <d v="2016-02-27T00:00:00"/>
    <d v="2016-02-27T00:00:00"/>
    <x v="39"/>
    <x v="37"/>
    <n v="808930"/>
    <s v="null"/>
  </r>
  <r>
    <n v="808930"/>
    <s v="Claud "/>
    <s v="Marek"/>
    <s v="Claud 345@mailxyz.com"/>
    <x v="2"/>
    <x v="5"/>
    <x v="12"/>
    <x v="6"/>
    <x v="16"/>
    <n v="808930"/>
    <x v="0"/>
    <d v="2016-02-23T17:26:00"/>
    <d v="2016-02-23T00:00:00"/>
    <d v="2016-02-23T00:00:00"/>
    <x v="40"/>
    <x v="38"/>
    <n v="808930"/>
    <s v="null"/>
  </r>
  <r>
    <n v="808930"/>
    <s v="Claud "/>
    <s v="Marek"/>
    <s v="Claud 345@mailxyz.com"/>
    <x v="2"/>
    <x v="5"/>
    <x v="12"/>
    <x v="6"/>
    <x v="16"/>
    <n v="808930"/>
    <x v="0"/>
    <d v="2016-03-30T14:19:00"/>
    <d v="2016-03-30T00:00:00"/>
    <d v="2016-03-30T00:00:00"/>
    <x v="41"/>
    <x v="39"/>
    <n v="808930"/>
    <s v="null"/>
  </r>
  <r>
    <n v="771791"/>
    <s v="Shane "/>
    <s v="Luthy"/>
    <s v="Shane 24@abcmail.com"/>
    <x v="2"/>
    <x v="2"/>
    <x v="6"/>
    <x v="2"/>
    <x v="17"/>
    <n v="771791"/>
    <x v="3"/>
    <d v="2016-03-14T13:51:00"/>
    <d v="2016-03-14T00:00:00"/>
    <d v="2016-03-14T00:00:00"/>
    <x v="42"/>
    <x v="40"/>
    <n v="771791"/>
    <s v="null"/>
  </r>
  <r>
    <n v="771791"/>
    <s v="Shane "/>
    <s v="Luthy"/>
    <s v="Shane 24@abcmail.com"/>
    <x v="2"/>
    <x v="2"/>
    <x v="6"/>
    <x v="2"/>
    <x v="17"/>
    <n v="771791"/>
    <x v="11"/>
    <d v="2016-03-06T07:02:00"/>
    <d v="2016-03-06T00:00:00"/>
    <d v="2016-03-06T00:00:00"/>
    <x v="43"/>
    <x v="41"/>
    <n v="771791"/>
    <s v="null"/>
  </r>
  <r>
    <n v="1373"/>
    <s v="Raymundo "/>
    <s v="Mina"/>
    <s v="Raymundo 435@mailxyz.com"/>
    <x v="2"/>
    <x v="1"/>
    <x v="14"/>
    <x v="3"/>
    <x v="18"/>
    <n v="1373"/>
    <x v="9"/>
    <d v="2016-02-28T12:38:00"/>
    <d v="2016-02-28T00:00:00"/>
    <d v="2016-02-28T00:00:00"/>
    <x v="44"/>
    <x v="10"/>
    <n v="1373"/>
    <s v="null"/>
  </r>
  <r>
    <n v="808971"/>
    <s v="Jacinto "/>
    <s v="Mccollum"/>
    <s v="Jacinto 254@abcmail.com"/>
    <x v="2"/>
    <x v="2"/>
    <x v="15"/>
    <x v="2"/>
    <x v="19"/>
    <n v="808971"/>
    <x v="2"/>
    <d v="2016-02-08T12:45:00"/>
    <d v="2016-02-08T00:00:00"/>
    <d v="2016-02-08T00:00:00"/>
    <x v="45"/>
    <x v="42"/>
    <n v="808971"/>
    <s v="null"/>
  </r>
  <r>
    <n v="808971"/>
    <s v="Jacinto "/>
    <s v="Mccollum"/>
    <s v="Jacinto 254@abcmail.com"/>
    <x v="2"/>
    <x v="2"/>
    <x v="15"/>
    <x v="2"/>
    <x v="19"/>
    <n v="808971"/>
    <x v="2"/>
    <d v="2016-02-18T20:28:00"/>
    <d v="2016-02-18T00:00:00"/>
    <d v="2016-02-18T00:00:00"/>
    <x v="46"/>
    <x v="29"/>
    <n v="808971"/>
    <s v="null"/>
  </r>
  <r>
    <n v="808971"/>
    <s v="Jacinto "/>
    <s v="Mccollum"/>
    <s v="Jacinto 254@abcmail.com"/>
    <x v="2"/>
    <x v="2"/>
    <x v="15"/>
    <x v="2"/>
    <x v="19"/>
    <n v="808971"/>
    <x v="2"/>
    <d v="2016-02-07T15:41:00"/>
    <d v="2016-02-07T00:00:00"/>
    <d v="2016-02-07T00:00:00"/>
    <x v="47"/>
    <x v="20"/>
    <n v="808971"/>
    <s v="null"/>
  </r>
  <r>
    <n v="808971"/>
    <s v="Jacinto "/>
    <s v="Mccollum"/>
    <s v="Jacinto 254@abcmail.com"/>
    <x v="2"/>
    <x v="2"/>
    <x v="15"/>
    <x v="2"/>
    <x v="19"/>
    <n v="808971"/>
    <x v="2"/>
    <d v="2016-02-07T22:15:00"/>
    <d v="2016-02-07T00:00:00"/>
    <d v="2016-02-07T00:00:00"/>
    <x v="10"/>
    <x v="43"/>
    <n v="808971"/>
    <s v="null"/>
  </r>
  <r>
    <n v="808971"/>
    <s v="Jacinto "/>
    <s v="Mccollum"/>
    <s v="Jacinto 254@abcmail.com"/>
    <x v="2"/>
    <x v="2"/>
    <x v="15"/>
    <x v="2"/>
    <x v="19"/>
    <n v="808971"/>
    <x v="3"/>
    <d v="2016-01-26T16:16:00"/>
    <d v="2016-01-26T00:00:00"/>
    <d v="2016-01-26T00:00:00"/>
    <x v="48"/>
    <x v="44"/>
    <n v="808971"/>
    <s v="null"/>
  </r>
  <r>
    <n v="808971"/>
    <s v="Jacinto "/>
    <s v="Mccollum"/>
    <s v="Jacinto 254@abcmail.com"/>
    <x v="2"/>
    <x v="2"/>
    <x v="15"/>
    <x v="2"/>
    <x v="19"/>
    <n v="808971"/>
    <x v="2"/>
    <d v="2016-03-30T21:19:00"/>
    <d v="2016-03-30T00:00:00"/>
    <d v="2016-03-30T00:00:00"/>
    <x v="49"/>
    <x v="10"/>
    <n v="808971"/>
    <s v="null"/>
  </r>
  <r>
    <n v="808971"/>
    <s v="Jacinto "/>
    <s v="Mccollum"/>
    <s v="Jacinto 254@abcmail.com"/>
    <x v="2"/>
    <x v="2"/>
    <x v="15"/>
    <x v="2"/>
    <x v="19"/>
    <n v="808971"/>
    <x v="2"/>
    <d v="2016-03-25T16:23:00"/>
    <d v="2016-03-25T00:00:00"/>
    <d v="2016-03-25T00:00:00"/>
    <x v="50"/>
    <x v="45"/>
    <n v="808971"/>
    <s v="null"/>
  </r>
  <r>
    <n v="779369"/>
    <s v="Dee "/>
    <s v="Mastrangelo"/>
    <s v="Dee 211@yahoo.com"/>
    <x v="2"/>
    <x v="2"/>
    <x v="15"/>
    <x v="2"/>
    <x v="20"/>
    <n v="779369"/>
    <x v="12"/>
    <d v="2016-02-11T21:35:00"/>
    <d v="2016-02-11T00:00:00"/>
    <d v="2016-02-11T00:00:00"/>
    <x v="29"/>
    <x v="46"/>
    <n v="779369"/>
    <s v="null"/>
  </r>
  <r>
    <n v="779369"/>
    <s v="Dee "/>
    <s v="Mastrangelo"/>
    <s v="Dee 211@yahoo.com"/>
    <x v="2"/>
    <x v="2"/>
    <x v="15"/>
    <x v="2"/>
    <x v="20"/>
    <n v="779369"/>
    <x v="6"/>
    <d v="2016-01-20T07:20:00"/>
    <d v="2016-01-20T00:00:00"/>
    <d v="2016-01-20T00:00:00"/>
    <x v="51"/>
    <x v="47"/>
    <n v="779369"/>
    <s v="null"/>
  </r>
  <r>
    <n v="779369"/>
    <s v="Dee "/>
    <s v="Mastrangelo"/>
    <s v="Dee 211@yahoo.com"/>
    <x v="2"/>
    <x v="2"/>
    <x v="15"/>
    <x v="2"/>
    <x v="20"/>
    <n v="779369"/>
    <x v="12"/>
    <d v="2016-01-18T15:06:00"/>
    <d v="2016-01-18T00:00:00"/>
    <d v="2016-01-18T00:00:00"/>
    <x v="52"/>
    <x v="48"/>
    <n v="779369"/>
    <s v="null"/>
  </r>
  <r>
    <n v="1445"/>
    <s v="Kip "/>
    <s v="Luthy"/>
    <s v="Kip 141@yahoo.com"/>
    <x v="2"/>
    <x v="4"/>
    <x v="16"/>
    <x v="7"/>
    <x v="13"/>
    <n v="1445"/>
    <x v="5"/>
    <d v="2016-02-25T12:37:00"/>
    <d v="2016-02-25T00:00:00"/>
    <d v="2016-02-25T00:00:00"/>
    <x v="53"/>
    <x v="49"/>
    <n v="1445"/>
    <s v="null"/>
  </r>
  <r>
    <n v="1445"/>
    <s v="Kip "/>
    <s v="Luthy"/>
    <s v="Kip 141@yahoo.com"/>
    <x v="2"/>
    <x v="4"/>
    <x v="16"/>
    <x v="7"/>
    <x v="13"/>
    <n v="1445"/>
    <x v="12"/>
    <d v="2016-03-06T17:47:00"/>
    <d v="2016-03-06T00:00:00"/>
    <d v="2016-03-06T00:00:00"/>
    <x v="54"/>
    <x v="50"/>
    <n v="1445"/>
    <s v="null"/>
  </r>
  <r>
    <n v="615057"/>
    <s v="Anette "/>
    <s v="Leicht"/>
    <s v="Anette 341@yahoo.com"/>
    <x v="1"/>
    <x v="2"/>
    <x v="17"/>
    <x v="6"/>
    <x v="21"/>
    <n v="615057"/>
    <x v="3"/>
    <d v="2016-01-10T09:34:00"/>
    <d v="2016-01-10T00:00:00"/>
    <d v="2016-01-10T00:00:00"/>
    <x v="55"/>
    <x v="51"/>
    <n v="615057"/>
    <s v="null"/>
  </r>
  <r>
    <n v="786055"/>
    <s v="Williemae "/>
    <s v="Holt"/>
    <s v="Williemae 484@abcmail.com"/>
    <x v="1"/>
    <x v="1"/>
    <x v="17"/>
    <x v="2"/>
    <x v="22"/>
    <n v="786055"/>
    <x v="3"/>
    <d v="2016-01-19T20:42:00"/>
    <d v="2016-01-19T00:00:00"/>
    <d v="2016-01-19T00:00:00"/>
    <x v="56"/>
    <x v="52"/>
    <n v="786055"/>
    <s v="null"/>
  </r>
  <r>
    <n v="786055"/>
    <s v="Williemae "/>
    <s v="Holt"/>
    <s v="Williemae 484@abcmail.com"/>
    <x v="1"/>
    <x v="1"/>
    <x v="17"/>
    <x v="2"/>
    <x v="22"/>
    <n v="786055"/>
    <x v="13"/>
    <d v="2016-01-18T19:49:00"/>
    <d v="2016-01-18T00:00:00"/>
    <d v="2016-01-18T00:00:00"/>
    <x v="57"/>
    <x v="53"/>
    <n v="786055"/>
    <s v="null"/>
  </r>
  <r>
    <n v="764296"/>
    <s v="Royal "/>
    <s v="Pascarella"/>
    <s v="Royal 175@mailxyz.com"/>
    <x v="2"/>
    <x v="4"/>
    <x v="8"/>
    <x v="4"/>
    <x v="23"/>
    <n v="764296"/>
    <x v="6"/>
    <d v="2016-02-04T10:42:00"/>
    <d v="2016-02-04T00:00:00"/>
    <d v="2016-02-04T00:00:00"/>
    <x v="58"/>
    <x v="54"/>
    <n v="764296"/>
    <s v="null"/>
  </r>
  <r>
    <n v="764296"/>
    <s v="Royal "/>
    <s v="Pascarella"/>
    <s v="Royal 175@mailxyz.com"/>
    <x v="2"/>
    <x v="4"/>
    <x v="8"/>
    <x v="4"/>
    <x v="23"/>
    <n v="764296"/>
    <x v="8"/>
    <d v="2016-02-01T22:10:00"/>
    <d v="2016-02-01T00:00:00"/>
    <d v="2016-02-01T00:00:00"/>
    <x v="59"/>
    <x v="10"/>
    <n v="764296"/>
    <s v="null"/>
  </r>
  <r>
    <n v="779373"/>
    <s v="Loyd "/>
    <s v="Beville"/>
    <s v="Loyd 492@gmail.com"/>
    <x v="2"/>
    <x v="2"/>
    <x v="18"/>
    <x v="6"/>
    <x v="24"/>
    <n v="779373"/>
    <x v="12"/>
    <d v="2016-02-28T07:58:00"/>
    <d v="2016-02-28T00:00:00"/>
    <d v="2016-02-28T00:00:00"/>
    <x v="60"/>
    <x v="55"/>
    <n v="779373"/>
    <s v="null"/>
  </r>
  <r>
    <n v="771793"/>
    <s v="Anette "/>
    <s v="Leicht"/>
    <s v="Anette 143@mail.com"/>
    <x v="1"/>
    <x v="5"/>
    <x v="18"/>
    <x v="4"/>
    <x v="25"/>
    <n v="771793"/>
    <x v="4"/>
    <d v="2016-01-05T23:33:00"/>
    <d v="2016-01-05T00:00:00"/>
    <d v="2016-01-05T00:00:00"/>
    <x v="61"/>
    <x v="56"/>
    <n v="771793"/>
    <s v="null"/>
  </r>
  <r>
    <n v="771793"/>
    <s v="Anette "/>
    <s v="Leicht"/>
    <s v="Anette 143@mail.com"/>
    <x v="1"/>
    <x v="5"/>
    <x v="18"/>
    <x v="4"/>
    <x v="25"/>
    <n v="771793"/>
    <x v="4"/>
    <d v="2016-01-10T06:43:00"/>
    <d v="2016-01-10T00:00:00"/>
    <d v="2016-01-10T00:00:00"/>
    <x v="62"/>
    <x v="10"/>
    <n v="771793"/>
    <s v="null"/>
  </r>
  <r>
    <n v="771793"/>
    <s v="Anette "/>
    <s v="Leicht"/>
    <s v="Anette 143@mail.com"/>
    <x v="1"/>
    <x v="5"/>
    <x v="18"/>
    <x v="4"/>
    <x v="25"/>
    <n v="771793"/>
    <x v="8"/>
    <d v="2016-02-18T22:23:00"/>
    <d v="2016-02-18T00:00:00"/>
    <d v="2016-02-18T00:00:00"/>
    <x v="63"/>
    <x v="57"/>
    <n v="771793"/>
    <s v="null"/>
  </r>
  <r>
    <n v="771793"/>
    <s v="Anette "/>
    <s v="Leicht"/>
    <s v="Anette 143@mail.com"/>
    <x v="1"/>
    <x v="5"/>
    <x v="18"/>
    <x v="4"/>
    <x v="25"/>
    <n v="771793"/>
    <x v="8"/>
    <d v="2016-02-12T02:38:00"/>
    <d v="2016-02-12T00:00:00"/>
    <d v="2016-02-12T00:00:00"/>
    <x v="64"/>
    <x v="58"/>
    <n v="771793"/>
    <s v="null"/>
  </r>
  <r>
    <n v="808934"/>
    <s v="Claud "/>
    <s v="Woolard"/>
    <s v="Claud 344@abcmail.com"/>
    <x v="2"/>
    <x v="5"/>
    <x v="15"/>
    <x v="3"/>
    <x v="16"/>
    <n v="808934"/>
    <x v="4"/>
    <d v="2016-03-24T14:17:00"/>
    <d v="2016-03-24T00:00:00"/>
    <d v="2016-03-24T00:00:00"/>
    <x v="65"/>
    <x v="59"/>
    <n v="808934"/>
    <s v="null"/>
  </r>
  <r>
    <n v="808934"/>
    <s v="Claud "/>
    <s v="Woolard"/>
    <s v="Claud 344@abcmail.com"/>
    <x v="2"/>
    <x v="5"/>
    <x v="15"/>
    <x v="3"/>
    <x v="16"/>
    <n v="808934"/>
    <x v="2"/>
    <d v="2016-03-11T18:58:00"/>
    <d v="2016-03-11T00:00:00"/>
    <d v="2016-03-11T00:00:00"/>
    <x v="66"/>
    <x v="28"/>
    <n v="808934"/>
    <s v="null"/>
  </r>
  <r>
    <n v="808934"/>
    <s v="Claud "/>
    <s v="Woolard"/>
    <s v="Claud 344@abcmail.com"/>
    <x v="2"/>
    <x v="5"/>
    <x v="15"/>
    <x v="3"/>
    <x v="16"/>
    <n v="808934"/>
    <x v="4"/>
    <d v="2016-02-06T08:56:00"/>
    <d v="2016-02-06T00:00:00"/>
    <d v="2016-02-06T00:00:00"/>
    <x v="67"/>
    <x v="10"/>
    <n v="808934"/>
    <s v="null"/>
  </r>
  <r>
    <n v="808934"/>
    <s v="Claud "/>
    <s v="Woolard"/>
    <s v="Claud 344@abcmail.com"/>
    <x v="2"/>
    <x v="5"/>
    <x v="15"/>
    <x v="3"/>
    <x v="16"/>
    <n v="808934"/>
    <x v="8"/>
    <d v="2016-02-06T12:38:00"/>
    <d v="2016-02-06T00:00:00"/>
    <d v="2016-02-06T00:00:00"/>
    <x v="44"/>
    <x v="60"/>
    <n v="808934"/>
    <s v="null"/>
  </r>
  <r>
    <n v="808934"/>
    <s v="Claud "/>
    <s v="Woolard"/>
    <s v="Claud 344@abcmail.com"/>
    <x v="2"/>
    <x v="5"/>
    <x v="15"/>
    <x v="3"/>
    <x v="16"/>
    <n v="808934"/>
    <x v="4"/>
    <d v="2016-02-06T21:55:00"/>
    <d v="2016-02-06T00:00:00"/>
    <d v="2016-02-06T00:00:00"/>
    <x v="68"/>
    <x v="61"/>
    <n v="808934"/>
    <s v="null"/>
  </r>
  <r>
    <n v="808934"/>
    <s v="Claud "/>
    <s v="Woolard"/>
    <s v="Claud 344@abcmail.com"/>
    <x v="2"/>
    <x v="5"/>
    <x v="15"/>
    <x v="3"/>
    <x v="16"/>
    <n v="808934"/>
    <x v="8"/>
    <d v="2016-03-06T14:38:00"/>
    <d v="2016-03-06T00:00:00"/>
    <d v="2016-03-06T00:00:00"/>
    <x v="69"/>
    <x v="62"/>
    <n v="808934"/>
    <s v="null"/>
  </r>
  <r>
    <n v="808934"/>
    <s v="Claud "/>
    <s v="Woolard"/>
    <s v="Claud 344@abcmail.com"/>
    <x v="2"/>
    <x v="5"/>
    <x v="15"/>
    <x v="3"/>
    <x v="16"/>
    <n v="808934"/>
    <x v="5"/>
    <d v="2016-02-12T19:16:00"/>
    <d v="2016-02-12T00:00:00"/>
    <d v="2016-02-12T00:00:00"/>
    <x v="70"/>
    <x v="63"/>
    <n v="808934"/>
    <s v="null"/>
  </r>
  <r>
    <n v="808934"/>
    <s v="Claud "/>
    <s v="Woolard"/>
    <s v="Claud 344@abcmail.com"/>
    <x v="2"/>
    <x v="5"/>
    <x v="15"/>
    <x v="3"/>
    <x v="16"/>
    <n v="808934"/>
    <x v="4"/>
    <d v="2016-03-06T15:58:00"/>
    <d v="2016-03-06T00:00:00"/>
    <d v="2016-03-06T00:00:00"/>
    <x v="71"/>
    <x v="64"/>
    <n v="808934"/>
    <s v="null"/>
  </r>
  <r>
    <n v="808934"/>
    <s v="Claud "/>
    <s v="Woolard"/>
    <s v="Claud 344@abcmail.com"/>
    <x v="2"/>
    <x v="5"/>
    <x v="15"/>
    <x v="3"/>
    <x v="16"/>
    <n v="808934"/>
    <x v="4"/>
    <d v="2016-03-06T16:00:00"/>
    <d v="2016-03-06T00:00:00"/>
    <d v="2016-03-06T00:00:00"/>
    <x v="72"/>
    <x v="65"/>
    <n v="808934"/>
    <s v="null"/>
  </r>
  <r>
    <n v="808934"/>
    <s v="Claud "/>
    <s v="Woolard"/>
    <s v="Claud 344@abcmail.com"/>
    <x v="2"/>
    <x v="5"/>
    <x v="15"/>
    <x v="3"/>
    <x v="16"/>
    <n v="808934"/>
    <x v="4"/>
    <d v="2016-03-27T18:07:00"/>
    <d v="2016-03-27T00:00:00"/>
    <d v="2016-03-27T00:00:00"/>
    <x v="73"/>
    <x v="66"/>
    <n v="808934"/>
    <s v="null"/>
  </r>
  <r>
    <n v="771796"/>
    <s v="Jacinto "/>
    <s v="Mcclaine"/>
    <s v="Jacinto 251@yahoo.com"/>
    <x v="2"/>
    <x v="4"/>
    <x v="12"/>
    <x v="4"/>
    <x v="19"/>
    <n v="771796"/>
    <x v="5"/>
    <d v="2016-02-05T17:17:00"/>
    <d v="2016-02-05T00:00:00"/>
    <d v="2016-02-05T00:00:00"/>
    <x v="74"/>
    <x v="67"/>
    <n v="771796"/>
    <s v="null"/>
  </r>
  <r>
    <n v="771796"/>
    <s v="Jacinto "/>
    <s v="Mcclaine"/>
    <s v="Jacinto 251@yahoo.com"/>
    <x v="2"/>
    <x v="4"/>
    <x v="12"/>
    <x v="4"/>
    <x v="19"/>
    <n v="771796"/>
    <x v="4"/>
    <d v="2016-03-24T12:46:00"/>
    <d v="2016-03-24T00:00:00"/>
    <d v="2016-03-24T00:00:00"/>
    <x v="75"/>
    <x v="68"/>
    <n v="771796"/>
    <s v="null"/>
  </r>
  <r>
    <n v="771796"/>
    <s v="Jacinto "/>
    <s v="Mcclaine"/>
    <s v="Jacinto 251@yahoo.com"/>
    <x v="2"/>
    <x v="4"/>
    <x v="12"/>
    <x v="4"/>
    <x v="19"/>
    <n v="771796"/>
    <x v="3"/>
    <d v="2016-02-06T18:10:00"/>
    <d v="2016-02-06T00:00:00"/>
    <d v="2016-02-06T00:00:00"/>
    <x v="76"/>
    <x v="69"/>
    <n v="771796"/>
    <s v="null"/>
  </r>
  <r>
    <n v="771796"/>
    <s v="Jacinto "/>
    <s v="Mcclaine"/>
    <s v="Jacinto 251@yahoo.com"/>
    <x v="2"/>
    <x v="4"/>
    <x v="12"/>
    <x v="4"/>
    <x v="19"/>
    <n v="771796"/>
    <x v="4"/>
    <d v="2016-02-06T18:18:00"/>
    <d v="2016-02-06T00:00:00"/>
    <d v="2016-02-06T00:00:00"/>
    <x v="77"/>
    <x v="70"/>
    <n v="771796"/>
    <s v="null"/>
  </r>
  <r>
    <n v="771796"/>
    <s v="Jacinto "/>
    <s v="Mcclaine"/>
    <s v="Jacinto 251@yahoo.com"/>
    <x v="2"/>
    <x v="4"/>
    <x v="12"/>
    <x v="4"/>
    <x v="19"/>
    <n v="771796"/>
    <x v="4"/>
    <d v="2016-03-27T18:58:00"/>
    <d v="2016-03-27T00:00:00"/>
    <d v="2016-03-27T00:00:00"/>
    <x v="66"/>
    <x v="71"/>
    <n v="771796"/>
    <s v="null"/>
  </r>
  <r>
    <n v="771796"/>
    <s v="Jacinto "/>
    <s v="Mcclaine"/>
    <s v="Jacinto 251@yahoo.com"/>
    <x v="2"/>
    <x v="4"/>
    <x v="12"/>
    <x v="4"/>
    <x v="19"/>
    <n v="771796"/>
    <x v="4"/>
    <d v="2016-03-26T19:00:00"/>
    <d v="2016-03-26T00:00:00"/>
    <d v="2016-03-26T00:00:00"/>
    <x v="78"/>
    <x v="72"/>
    <n v="771796"/>
    <s v="null"/>
  </r>
  <r>
    <n v="617535"/>
    <s v="Stefan "/>
    <s v="Reisinger"/>
    <s v="Stefan 464@abcmail.com"/>
    <x v="2"/>
    <x v="5"/>
    <x v="18"/>
    <x v="2"/>
    <x v="26"/>
    <n v="617535"/>
    <x v="10"/>
    <d v="2016-01-11T22:08:00"/>
    <d v="2016-01-11T00:00:00"/>
    <d v="2016-01-11T00:00:00"/>
    <x v="79"/>
    <x v="73"/>
    <n v="617535"/>
    <s v="null"/>
  </r>
  <r>
    <n v="617961"/>
    <s v="Robby "/>
    <s v="Mosser"/>
    <s v="Robby 165@mailxyz.com"/>
    <x v="2"/>
    <x v="5"/>
    <x v="19"/>
    <x v="5"/>
    <x v="27"/>
    <n v="617961"/>
    <x v="2"/>
    <d v="2016-02-01T00:06:00"/>
    <d v="2016-02-01T00:00:00"/>
    <d v="2016-02-01T00:00:00"/>
    <x v="80"/>
    <x v="74"/>
    <n v="617961"/>
    <s v="null"/>
  </r>
  <r>
    <n v="771797"/>
    <s v="Randy "/>
    <s v="Beville"/>
    <s v="Randy 395@mailxyz.com"/>
    <x v="2"/>
    <x v="0"/>
    <x v="12"/>
    <x v="2"/>
    <x v="28"/>
    <n v="771797"/>
    <x v="5"/>
    <d v="2016-02-03T15:31:00"/>
    <d v="2016-02-03T00:00:00"/>
    <d v="2016-02-03T00:00:00"/>
    <x v="81"/>
    <x v="75"/>
    <n v="771797"/>
    <s v="null"/>
  </r>
  <r>
    <n v="67584"/>
    <s v="Hollis "/>
    <s v="Caves"/>
    <s v="Hollis 383@mail.com"/>
    <x v="2"/>
    <x v="1"/>
    <x v="20"/>
    <x v="4"/>
    <x v="29"/>
    <n v="67584"/>
    <x v="4"/>
    <d v="2016-01-18T17:04:00"/>
    <d v="2016-01-18T00:00:00"/>
    <d v="2016-01-18T00:00:00"/>
    <x v="82"/>
    <x v="76"/>
    <n v="67584"/>
    <s v="null"/>
  </r>
  <r>
    <n v="808936"/>
    <s v="Valentine "/>
    <s v="Slane"/>
    <s v="Valentine 474@abcmail.com"/>
    <x v="2"/>
    <x v="1"/>
    <x v="8"/>
    <x v="2"/>
    <x v="30"/>
    <n v="808936"/>
    <x v="4"/>
    <d v="2016-03-24T14:31:00"/>
    <d v="2016-03-24T00:00:00"/>
    <d v="2016-03-24T00:00:00"/>
    <x v="83"/>
    <x v="77"/>
    <n v="808936"/>
    <s v="null"/>
  </r>
  <r>
    <n v="808936"/>
    <s v="Valentine "/>
    <s v="Slane"/>
    <s v="Valentine 474@abcmail.com"/>
    <x v="2"/>
    <x v="1"/>
    <x v="8"/>
    <x v="2"/>
    <x v="30"/>
    <n v="808936"/>
    <x v="4"/>
    <d v="2016-02-18T12:25:00"/>
    <d v="2016-02-18T00:00:00"/>
    <d v="2016-02-18T00:00:00"/>
    <x v="84"/>
    <x v="10"/>
    <n v="808936"/>
    <s v="null"/>
  </r>
  <r>
    <n v="590480"/>
    <s v="Mellie "/>
    <s v="Creager"/>
    <s v="Mellie 411@yahoo.com"/>
    <x v="1"/>
    <x v="5"/>
    <x v="21"/>
    <x v="4"/>
    <x v="31"/>
    <n v="590480"/>
    <x v="10"/>
    <d v="2016-01-04T18:11:00"/>
    <d v="2016-01-04T00:00:00"/>
    <d v="2016-01-04T00:00:00"/>
    <x v="85"/>
    <x v="78"/>
    <n v="590480"/>
    <s v="null"/>
  </r>
  <r>
    <n v="793592"/>
    <s v="None"/>
    <s v="None"/>
    <s v="Krysta 494@abcmail.com"/>
    <x v="0"/>
    <x v="0"/>
    <x v="0"/>
    <x v="0"/>
    <x v="0"/>
    <n v="793592"/>
    <x v="3"/>
    <d v="2016-03-21T14:34:00"/>
    <d v="2016-03-21T00:00:00"/>
    <d v="2016-03-21T00:00:00"/>
    <x v="86"/>
    <x v="79"/>
    <n v="793592"/>
    <s v="null"/>
  </r>
  <r>
    <n v="586459"/>
    <s v="Lucas "/>
    <s v="Hier"/>
    <s v="Lucas 233@mail.com"/>
    <x v="2"/>
    <x v="2"/>
    <x v="9"/>
    <x v="8"/>
    <x v="32"/>
    <n v="586459"/>
    <x v="9"/>
    <d v="2016-01-02T11:49:00"/>
    <d v="2016-01-02T00:00:00"/>
    <d v="2016-01-02T00:00:00"/>
    <x v="87"/>
    <x v="80"/>
    <n v="586459"/>
    <s v="null"/>
  </r>
  <r>
    <n v="791320"/>
    <s v="Shandra "/>
    <s v="Mccollum"/>
    <s v="Shandra 411@yahoo.com"/>
    <x v="1"/>
    <x v="5"/>
    <x v="4"/>
    <x v="3"/>
    <x v="33"/>
    <n v="791320"/>
    <x v="0"/>
    <d v="2016-03-05T14:57:00"/>
    <d v="2016-03-05T00:00:00"/>
    <d v="2016-03-05T00:00:00"/>
    <x v="88"/>
    <x v="42"/>
    <n v="791320"/>
    <s v="null"/>
  </r>
  <r>
    <n v="791320"/>
    <s v="Shandra "/>
    <s v="Mccollum"/>
    <s v="Shandra 411@yahoo.com"/>
    <x v="1"/>
    <x v="5"/>
    <x v="4"/>
    <x v="3"/>
    <x v="33"/>
    <n v="791320"/>
    <x v="0"/>
    <d v="2016-03-06T11:33:00"/>
    <d v="2016-03-06T00:00:00"/>
    <d v="2016-03-06T00:00:00"/>
    <x v="89"/>
    <x v="81"/>
    <n v="791320"/>
    <s v="null"/>
  </r>
  <r>
    <n v="791320"/>
    <s v="Shandra "/>
    <s v="Mccollum"/>
    <s v="Shandra 411@yahoo.com"/>
    <x v="1"/>
    <x v="5"/>
    <x v="4"/>
    <x v="3"/>
    <x v="33"/>
    <n v="791320"/>
    <x v="0"/>
    <d v="2016-03-06T10:32:00"/>
    <d v="2016-03-06T00:00:00"/>
    <d v="2016-03-06T00:00:00"/>
    <x v="90"/>
    <x v="82"/>
    <n v="791320"/>
    <s v="null"/>
  </r>
  <r>
    <n v="771802"/>
    <s v="Valentine "/>
    <s v="Curran"/>
    <s v="Valentine 475@mailxyz.com"/>
    <x v="2"/>
    <x v="4"/>
    <x v="5"/>
    <x v="4"/>
    <x v="30"/>
    <n v="771802"/>
    <x v="2"/>
    <d v="2016-01-02T14:42:00"/>
    <d v="2016-01-02T00:00:00"/>
    <d v="2016-01-02T00:00:00"/>
    <x v="91"/>
    <x v="83"/>
    <n v="771802"/>
    <s v="null"/>
  </r>
  <r>
    <n v="771802"/>
    <s v="Valentine "/>
    <s v="Curran"/>
    <s v="Valentine 475@mailxyz.com"/>
    <x v="2"/>
    <x v="4"/>
    <x v="5"/>
    <x v="4"/>
    <x v="30"/>
    <n v="771802"/>
    <x v="4"/>
    <d v="2016-01-30T16:11:00"/>
    <d v="2016-01-30T00:00:00"/>
    <d v="2016-01-30T00:00:00"/>
    <x v="92"/>
    <x v="84"/>
    <n v="771802"/>
    <s v="null"/>
  </r>
  <r>
    <n v="771802"/>
    <s v="Valentine "/>
    <s v="Curran"/>
    <s v="Valentine 475@mailxyz.com"/>
    <x v="2"/>
    <x v="4"/>
    <x v="5"/>
    <x v="4"/>
    <x v="30"/>
    <n v="771802"/>
    <x v="12"/>
    <d v="2016-01-01T13:25:00"/>
    <d v="2016-01-01T00:00:00"/>
    <d v="2016-01-01T00:00:00"/>
    <x v="93"/>
    <x v="85"/>
    <n v="771802"/>
    <s v="null"/>
  </r>
  <r>
    <n v="771802"/>
    <s v="Valentine "/>
    <s v="Curran"/>
    <s v="Valentine 475@mailxyz.com"/>
    <x v="2"/>
    <x v="4"/>
    <x v="5"/>
    <x v="4"/>
    <x v="30"/>
    <n v="771802"/>
    <x v="4"/>
    <d v="2016-01-08T16:50:00"/>
    <d v="2016-01-08T00:00:00"/>
    <d v="2016-01-08T00:00:00"/>
    <x v="94"/>
    <x v="86"/>
    <n v="771802"/>
    <s v="null"/>
  </r>
  <r>
    <n v="771802"/>
    <s v="Valentine "/>
    <s v="Curran"/>
    <s v="Valentine 475@mailxyz.com"/>
    <x v="2"/>
    <x v="4"/>
    <x v="5"/>
    <x v="4"/>
    <x v="30"/>
    <n v="771802"/>
    <x v="12"/>
    <d v="2016-01-01T04:37:00"/>
    <d v="2016-01-01T00:00:00"/>
    <d v="2016-01-01T00:00:00"/>
    <x v="95"/>
    <x v="20"/>
    <n v="771802"/>
    <s v="null"/>
  </r>
  <r>
    <n v="771802"/>
    <s v="Valentine "/>
    <s v="Curran"/>
    <s v="Valentine 475@mailxyz.com"/>
    <x v="2"/>
    <x v="4"/>
    <x v="5"/>
    <x v="4"/>
    <x v="30"/>
    <n v="771802"/>
    <x v="4"/>
    <d v="2016-02-12T18:51:00"/>
    <d v="2016-02-12T00:00:00"/>
    <d v="2016-02-12T00:00:00"/>
    <x v="96"/>
    <x v="87"/>
    <n v="771802"/>
    <s v="null"/>
  </r>
  <r>
    <n v="808941"/>
    <s v="Michel "/>
    <s v="Curran"/>
    <s v="Michel 204@abcmail.com"/>
    <x v="2"/>
    <x v="4"/>
    <x v="15"/>
    <x v="4"/>
    <x v="34"/>
    <n v="808941"/>
    <x v="5"/>
    <d v="2016-03-01T02:30:00"/>
    <d v="2016-03-01T00:00:00"/>
    <d v="2016-03-01T00:00:00"/>
    <x v="97"/>
    <x v="75"/>
    <n v="808941"/>
    <s v="null"/>
  </r>
  <r>
    <n v="600713"/>
    <s v="Chas "/>
    <s v="Mccown"/>
    <s v="Chas 351@yahoo.com"/>
    <x v="2"/>
    <x v="2"/>
    <x v="22"/>
    <x v="3"/>
    <x v="35"/>
    <n v="600713"/>
    <x v="3"/>
    <d v="2016-01-01T16:32:00"/>
    <d v="2016-01-01T00:00:00"/>
    <d v="2016-01-01T00:00:00"/>
    <x v="98"/>
    <x v="88"/>
    <n v="600713"/>
    <s v="null"/>
  </r>
  <r>
    <n v="600713"/>
    <s v="Chas "/>
    <s v="Mccown"/>
    <s v="Chas 351@yahoo.com"/>
    <x v="2"/>
    <x v="2"/>
    <x v="22"/>
    <x v="3"/>
    <x v="35"/>
    <n v="600713"/>
    <x v="3"/>
    <d v="2016-01-13T16:27:00"/>
    <d v="2016-01-13T00:00:00"/>
    <d v="2016-01-13T00:00:00"/>
    <x v="99"/>
    <x v="89"/>
    <n v="600713"/>
    <s v="null"/>
  </r>
  <r>
    <n v="808945"/>
    <s v="Garry "/>
    <s v="Biggers"/>
    <s v="Garry 283@mail.com"/>
    <x v="2"/>
    <x v="0"/>
    <x v="5"/>
    <x v="4"/>
    <x v="2"/>
    <n v="808945"/>
    <x v="7"/>
    <d v="2016-03-01T21:19:00"/>
    <d v="2016-03-01T00:00:00"/>
    <d v="2016-03-01T00:00:00"/>
    <x v="49"/>
    <x v="90"/>
    <n v="808945"/>
    <s v="null"/>
  </r>
  <r>
    <n v="301011"/>
    <s v="Robby "/>
    <s v="Caves"/>
    <s v="Robby 162@gmail.com"/>
    <x v="2"/>
    <x v="2"/>
    <x v="23"/>
    <x v="9"/>
    <x v="27"/>
    <n v="301011"/>
    <x v="5"/>
    <d v="2016-01-08T19:03:00"/>
    <d v="2016-01-08T00:00:00"/>
    <d v="2016-01-08T00:00:00"/>
    <x v="100"/>
    <x v="91"/>
    <n v="301011"/>
    <s v="null"/>
  </r>
  <r>
    <n v="808948"/>
    <s v="Rebecka "/>
    <s v="Shkreli"/>
    <s v="Rebecka 172@gmail.com"/>
    <x v="1"/>
    <x v="4"/>
    <x v="5"/>
    <x v="4"/>
    <x v="36"/>
    <n v="808948"/>
    <x v="5"/>
    <d v="2016-02-11T07:04:00"/>
    <d v="2016-02-11T00:00:00"/>
    <d v="2016-02-11T00:00:00"/>
    <x v="101"/>
    <x v="92"/>
    <n v="808948"/>
    <s v="null"/>
  </r>
  <r>
    <n v="808948"/>
    <s v="Rebecka "/>
    <s v="Shkreli"/>
    <s v="Rebecka 172@gmail.com"/>
    <x v="1"/>
    <x v="4"/>
    <x v="5"/>
    <x v="4"/>
    <x v="36"/>
    <n v="808948"/>
    <x v="3"/>
    <d v="2016-02-18T05:26:00"/>
    <d v="2016-02-18T00:00:00"/>
    <d v="2016-02-18T00:00:00"/>
    <x v="102"/>
    <x v="93"/>
    <n v="808948"/>
    <s v="null"/>
  </r>
  <r>
    <n v="808948"/>
    <s v="Rebecka "/>
    <s v="Shkreli"/>
    <s v="Rebecka 172@gmail.com"/>
    <x v="1"/>
    <x v="4"/>
    <x v="5"/>
    <x v="4"/>
    <x v="36"/>
    <n v="808948"/>
    <x v="3"/>
    <d v="2016-02-18T15:46:00"/>
    <d v="2016-02-18T00:00:00"/>
    <d v="2016-02-18T00:00:00"/>
    <x v="103"/>
    <x v="29"/>
    <n v="808948"/>
    <s v="null"/>
  </r>
  <r>
    <n v="808948"/>
    <s v="Rebecka "/>
    <s v="Shkreli"/>
    <s v="Rebecka 172@gmail.com"/>
    <x v="1"/>
    <x v="4"/>
    <x v="5"/>
    <x v="4"/>
    <x v="36"/>
    <n v="808948"/>
    <x v="3"/>
    <d v="2016-02-24T11:36:00"/>
    <d v="2016-02-24T00:00:00"/>
    <d v="2016-02-24T00:00:00"/>
    <x v="104"/>
    <x v="94"/>
    <n v="808948"/>
    <s v="null"/>
  </r>
  <r>
    <n v="808948"/>
    <s v="Rebecka "/>
    <s v="Shkreli"/>
    <s v="Rebecka 172@gmail.com"/>
    <x v="1"/>
    <x v="4"/>
    <x v="5"/>
    <x v="4"/>
    <x v="36"/>
    <n v="808948"/>
    <x v="8"/>
    <d v="2016-03-18T13:42:00"/>
    <d v="2016-03-18T00:00:00"/>
    <d v="2016-03-18T00:00:00"/>
    <x v="105"/>
    <x v="95"/>
    <n v="808948"/>
    <s v="null"/>
  </r>
  <r>
    <n v="808948"/>
    <s v="Rebecka "/>
    <s v="Shkreli"/>
    <s v="Rebecka 172@gmail.com"/>
    <x v="1"/>
    <x v="4"/>
    <x v="5"/>
    <x v="4"/>
    <x v="36"/>
    <n v="808948"/>
    <x v="3"/>
    <d v="2016-03-18T13:55:00"/>
    <d v="2016-03-18T00:00:00"/>
    <d v="2016-03-18T00:00:00"/>
    <x v="106"/>
    <x v="96"/>
    <n v="808948"/>
    <s v="null"/>
  </r>
  <r>
    <n v="808948"/>
    <s v="Rebecka "/>
    <s v="Shkreli"/>
    <s v="Rebecka 172@gmail.com"/>
    <x v="1"/>
    <x v="4"/>
    <x v="5"/>
    <x v="4"/>
    <x v="36"/>
    <n v="808948"/>
    <x v="3"/>
    <d v="2016-02-10T21:46:00"/>
    <d v="2016-02-10T00:00:00"/>
    <d v="2016-02-10T00:00:00"/>
    <x v="107"/>
    <x v="89"/>
    <n v="808948"/>
    <s v="null"/>
  </r>
  <r>
    <n v="808948"/>
    <s v="Rebecka "/>
    <s v="Shkreli"/>
    <s v="Rebecka 172@gmail.com"/>
    <x v="1"/>
    <x v="4"/>
    <x v="5"/>
    <x v="4"/>
    <x v="36"/>
    <n v="808948"/>
    <x v="3"/>
    <d v="2016-03-20T17:49:00"/>
    <d v="2016-03-20T00:00:00"/>
    <d v="2016-03-20T00:00:00"/>
    <x v="108"/>
    <x v="70"/>
    <n v="808948"/>
    <s v="null"/>
  </r>
  <r>
    <n v="808948"/>
    <s v="Rebecka "/>
    <s v="Shkreli"/>
    <s v="Rebecka 172@gmail.com"/>
    <x v="1"/>
    <x v="4"/>
    <x v="5"/>
    <x v="4"/>
    <x v="36"/>
    <n v="808948"/>
    <x v="0"/>
    <d v="2016-02-23T13:18:00"/>
    <d v="2016-02-23T00:00:00"/>
    <d v="2016-02-23T00:00:00"/>
    <x v="109"/>
    <x v="97"/>
    <n v="808948"/>
    <s v="null"/>
  </r>
  <r>
    <n v="808948"/>
    <s v="Rebecka "/>
    <s v="Shkreli"/>
    <s v="Rebecka 172@gmail.com"/>
    <x v="1"/>
    <x v="4"/>
    <x v="5"/>
    <x v="4"/>
    <x v="36"/>
    <n v="808948"/>
    <x v="3"/>
    <d v="2016-02-13T03:05:00"/>
    <d v="2016-02-13T00:00:00"/>
    <d v="2016-02-13T00:00:00"/>
    <x v="110"/>
    <x v="9"/>
    <n v="808948"/>
    <s v="null"/>
  </r>
  <r>
    <n v="779395"/>
    <s v="Wilburn "/>
    <s v="Crotty"/>
    <s v="Wilburn 302@gmail.com"/>
    <x v="2"/>
    <x v="4"/>
    <x v="8"/>
    <x v="4"/>
    <x v="37"/>
    <n v="779395"/>
    <x v="9"/>
    <d v="2016-02-14T14:01:00"/>
    <d v="2016-02-14T00:00:00"/>
    <d v="2016-02-14T00:00:00"/>
    <x v="111"/>
    <x v="98"/>
    <n v="779395"/>
    <s v="null"/>
  </r>
  <r>
    <n v="779395"/>
    <s v="Wilburn "/>
    <s v="Crotty"/>
    <s v="Wilburn 302@gmail.com"/>
    <x v="2"/>
    <x v="4"/>
    <x v="8"/>
    <x v="4"/>
    <x v="37"/>
    <n v="779395"/>
    <x v="8"/>
    <d v="2016-02-10T16:07:00"/>
    <d v="2016-02-10T00:00:00"/>
    <d v="2016-02-10T00:00:00"/>
    <x v="112"/>
    <x v="99"/>
    <n v="779395"/>
    <s v="null"/>
  </r>
  <r>
    <n v="771816"/>
    <s v="Garry "/>
    <s v="Fudge"/>
    <s v="Garry 282@gmail.com"/>
    <x v="2"/>
    <x v="2"/>
    <x v="22"/>
    <x v="2"/>
    <x v="2"/>
    <n v="771816"/>
    <x v="1"/>
    <d v="2016-01-01T08:59:00"/>
    <d v="2016-01-01T00:00:00"/>
    <d v="2016-01-01T00:00:00"/>
    <x v="113"/>
    <x v="100"/>
    <n v="771816"/>
    <s v="null"/>
  </r>
  <r>
    <n v="771816"/>
    <s v="Garry "/>
    <s v="Fudge"/>
    <s v="Garry 282@gmail.com"/>
    <x v="2"/>
    <x v="2"/>
    <x v="22"/>
    <x v="2"/>
    <x v="2"/>
    <n v="771816"/>
    <x v="3"/>
    <d v="2016-01-01T09:02:00"/>
    <d v="2016-01-01T00:00:00"/>
    <d v="2016-01-01T00:00:00"/>
    <x v="114"/>
    <x v="101"/>
    <n v="771816"/>
    <s v="null"/>
  </r>
  <r>
    <n v="771816"/>
    <s v="Garry "/>
    <s v="Fudge"/>
    <s v="Garry 282@gmail.com"/>
    <x v="2"/>
    <x v="2"/>
    <x v="22"/>
    <x v="2"/>
    <x v="2"/>
    <n v="771816"/>
    <x v="8"/>
    <d v="2016-01-01T19:29:00"/>
    <d v="2016-01-01T00:00:00"/>
    <d v="2016-01-01T00:00:00"/>
    <x v="115"/>
    <x v="102"/>
    <n v="771816"/>
    <s v="null"/>
  </r>
  <r>
    <n v="771816"/>
    <s v="Garry "/>
    <s v="Fudge"/>
    <s v="Garry 282@gmail.com"/>
    <x v="2"/>
    <x v="2"/>
    <x v="22"/>
    <x v="2"/>
    <x v="2"/>
    <n v="771816"/>
    <x v="9"/>
    <d v="2016-03-23T13:09:00"/>
    <d v="2016-03-23T00:00:00"/>
    <d v="2016-03-23T00:00:00"/>
    <x v="116"/>
    <x v="52"/>
    <n v="771816"/>
    <s v="null"/>
  </r>
  <r>
    <n v="771816"/>
    <s v="Garry "/>
    <s v="Fudge"/>
    <s v="Garry 282@gmail.com"/>
    <x v="2"/>
    <x v="2"/>
    <x v="22"/>
    <x v="2"/>
    <x v="2"/>
    <n v="771816"/>
    <x v="8"/>
    <d v="2016-02-06T21:26:00"/>
    <d v="2016-02-06T00:00:00"/>
    <d v="2016-02-06T00:00:00"/>
    <x v="117"/>
    <x v="103"/>
    <n v="771816"/>
    <s v="null"/>
  </r>
  <r>
    <n v="771816"/>
    <s v="Garry "/>
    <s v="Fudge"/>
    <s v="Garry 282@gmail.com"/>
    <x v="2"/>
    <x v="2"/>
    <x v="22"/>
    <x v="2"/>
    <x v="2"/>
    <n v="771816"/>
    <x v="8"/>
    <d v="2016-02-27T11:32:00"/>
    <d v="2016-02-27T00:00:00"/>
    <d v="2016-02-27T00:00:00"/>
    <x v="118"/>
    <x v="10"/>
    <n v="771816"/>
    <s v="null"/>
  </r>
  <r>
    <n v="771816"/>
    <s v="Garry "/>
    <s v="Fudge"/>
    <s v="Garry 282@gmail.com"/>
    <x v="2"/>
    <x v="2"/>
    <x v="22"/>
    <x v="2"/>
    <x v="2"/>
    <n v="771816"/>
    <x v="8"/>
    <d v="2016-03-07T05:54:00"/>
    <d v="2016-03-07T00:00:00"/>
    <d v="2016-03-07T00:00:00"/>
    <x v="119"/>
    <x v="102"/>
    <n v="771816"/>
    <s v="null"/>
  </r>
  <r>
    <n v="771816"/>
    <s v="Garry "/>
    <s v="Fudge"/>
    <s v="Garry 282@gmail.com"/>
    <x v="2"/>
    <x v="2"/>
    <x v="22"/>
    <x v="2"/>
    <x v="2"/>
    <n v="771816"/>
    <x v="9"/>
    <d v="2016-03-01T08:27:00"/>
    <d v="2016-03-01T00:00:00"/>
    <d v="2016-03-01T00:00:00"/>
    <x v="20"/>
    <x v="104"/>
    <n v="771816"/>
    <s v="null"/>
  </r>
  <r>
    <n v="788649"/>
    <s v="Randy "/>
    <s v="Styer"/>
    <s v="Randy 394@abcmail.com"/>
    <x v="2"/>
    <x v="1"/>
    <x v="24"/>
    <x v="2"/>
    <x v="28"/>
    <n v="788649"/>
    <x v="5"/>
    <d v="2016-01-15T18:12:00"/>
    <d v="2016-01-15T00:00:00"/>
    <d v="2016-01-15T00:00:00"/>
    <x v="120"/>
    <x v="105"/>
    <n v="788649"/>
    <s v="null"/>
  </r>
  <r>
    <n v="808949"/>
    <s v="Roxana "/>
    <s v="Nicholls"/>
    <s v="Roxana 365@mailxyz.com"/>
    <x v="1"/>
    <x v="2"/>
    <x v="12"/>
    <x v="3"/>
    <x v="38"/>
    <n v="808949"/>
    <x v="10"/>
    <d v="2016-02-20T08:53:00"/>
    <d v="2016-02-20T00:00:00"/>
    <d v="2016-02-20T00:00:00"/>
    <x v="121"/>
    <x v="106"/>
    <n v="808949"/>
    <s v="null"/>
  </r>
  <r>
    <n v="808949"/>
    <s v="Roxana "/>
    <s v="Nicholls"/>
    <s v="Roxana 365@mailxyz.com"/>
    <x v="1"/>
    <x v="2"/>
    <x v="12"/>
    <x v="3"/>
    <x v="38"/>
    <n v="808949"/>
    <x v="10"/>
    <d v="2016-02-15T19:52:00"/>
    <d v="2016-02-15T00:00:00"/>
    <d v="2016-02-15T00:00:00"/>
    <x v="122"/>
    <x v="107"/>
    <n v="808949"/>
    <s v="null"/>
  </r>
  <r>
    <n v="808949"/>
    <s v="Roxana "/>
    <s v="Nicholls"/>
    <s v="Roxana 365@mailxyz.com"/>
    <x v="1"/>
    <x v="2"/>
    <x v="12"/>
    <x v="3"/>
    <x v="38"/>
    <n v="808949"/>
    <x v="10"/>
    <d v="2016-03-02T12:21:00"/>
    <d v="2016-03-02T00:00:00"/>
    <d v="2016-03-02T00:00:00"/>
    <x v="123"/>
    <x v="108"/>
    <n v="808949"/>
    <s v="null"/>
  </r>
  <r>
    <n v="808949"/>
    <s v="Roxana "/>
    <s v="Nicholls"/>
    <s v="Roxana 365@mailxyz.com"/>
    <x v="1"/>
    <x v="2"/>
    <x v="12"/>
    <x v="3"/>
    <x v="38"/>
    <n v="808949"/>
    <x v="10"/>
    <d v="2016-02-14T09:56:00"/>
    <d v="2016-02-14T00:00:00"/>
    <d v="2016-02-14T00:00:00"/>
    <x v="124"/>
    <x v="109"/>
    <n v="808949"/>
    <s v="null"/>
  </r>
  <r>
    <n v="808949"/>
    <s v="Roxana "/>
    <s v="Nicholls"/>
    <s v="Roxana 365@mailxyz.com"/>
    <x v="1"/>
    <x v="2"/>
    <x v="12"/>
    <x v="3"/>
    <x v="38"/>
    <n v="808949"/>
    <x v="2"/>
    <d v="2016-03-09T10:24:00"/>
    <d v="2016-03-09T00:00:00"/>
    <d v="2016-03-09T00:00:00"/>
    <x v="125"/>
    <x v="110"/>
    <n v="808949"/>
    <s v="null"/>
  </r>
  <r>
    <n v="460303"/>
    <s v="None"/>
    <s v="None"/>
    <s v="Williemae 111@yahoo.com"/>
    <x v="0"/>
    <x v="0"/>
    <x v="0"/>
    <x v="0"/>
    <x v="0"/>
    <n v="460303"/>
    <x v="9"/>
    <d v="2016-01-22T18:30:00"/>
    <d v="2016-01-22T00:00:00"/>
    <d v="2016-01-22T00:00:00"/>
    <x v="126"/>
    <x v="103"/>
    <n v="460303"/>
    <s v="null"/>
  </r>
  <r>
    <n v="808950"/>
    <s v="Emerson "/>
    <s v="Pascarella"/>
    <s v="Emerson 244@abcmail.com"/>
    <x v="2"/>
    <x v="2"/>
    <x v="25"/>
    <x v="8"/>
    <x v="39"/>
    <n v="808950"/>
    <x v="2"/>
    <d v="2016-02-18T15:25:00"/>
    <d v="2016-02-18T00:00:00"/>
    <d v="2016-02-18T00:00:00"/>
    <x v="127"/>
    <x v="111"/>
    <n v="808950"/>
    <s v="null"/>
  </r>
  <r>
    <n v="808950"/>
    <s v="Emerson "/>
    <s v="Pascarella"/>
    <s v="Emerson 244@abcmail.com"/>
    <x v="2"/>
    <x v="2"/>
    <x v="25"/>
    <x v="8"/>
    <x v="39"/>
    <n v="808950"/>
    <x v="3"/>
    <d v="2016-02-18T15:02:00"/>
    <d v="2016-02-18T00:00:00"/>
    <d v="2016-02-18T00:00:00"/>
    <x v="128"/>
    <x v="20"/>
    <n v="808950"/>
    <s v="null"/>
  </r>
  <r>
    <n v="808950"/>
    <s v="Emerson "/>
    <s v="Pascarella"/>
    <s v="Emerson 244@abcmail.com"/>
    <x v="2"/>
    <x v="2"/>
    <x v="25"/>
    <x v="8"/>
    <x v="39"/>
    <n v="808950"/>
    <x v="2"/>
    <d v="2016-02-18T07:57:00"/>
    <d v="2016-02-18T00:00:00"/>
    <d v="2016-02-18T00:00:00"/>
    <x v="129"/>
    <x v="112"/>
    <n v="808950"/>
    <s v="null"/>
  </r>
  <r>
    <n v="808950"/>
    <s v="Emerson "/>
    <s v="Pascarella"/>
    <s v="Emerson 244@abcmail.com"/>
    <x v="2"/>
    <x v="2"/>
    <x v="25"/>
    <x v="8"/>
    <x v="39"/>
    <n v="808950"/>
    <x v="4"/>
    <d v="2016-02-20T16:29:00"/>
    <d v="2016-02-20T00:00:00"/>
    <d v="2016-02-20T00:00:00"/>
    <x v="130"/>
    <x v="40"/>
    <n v="808950"/>
    <s v="null"/>
  </r>
  <r>
    <n v="808950"/>
    <s v="Emerson "/>
    <s v="Pascarella"/>
    <s v="Emerson 244@abcmail.com"/>
    <x v="2"/>
    <x v="2"/>
    <x v="25"/>
    <x v="8"/>
    <x v="39"/>
    <n v="808950"/>
    <x v="5"/>
    <d v="2016-03-03T20:08:00"/>
    <d v="2016-03-03T00:00:00"/>
    <d v="2016-03-03T00:00:00"/>
    <x v="131"/>
    <x v="49"/>
    <n v="808950"/>
    <s v="null"/>
  </r>
  <r>
    <n v="808950"/>
    <s v="Emerson "/>
    <s v="Pascarella"/>
    <s v="Emerson 244@abcmail.com"/>
    <x v="2"/>
    <x v="2"/>
    <x v="25"/>
    <x v="8"/>
    <x v="39"/>
    <n v="808950"/>
    <x v="3"/>
    <d v="2016-02-18T06:24:00"/>
    <d v="2016-02-18T00:00:00"/>
    <d v="2016-02-18T00:00:00"/>
    <x v="132"/>
    <x v="15"/>
    <n v="808950"/>
    <s v="null"/>
  </r>
  <r>
    <n v="808950"/>
    <s v="Emerson "/>
    <s v="Pascarella"/>
    <s v="Emerson 244@abcmail.com"/>
    <x v="2"/>
    <x v="2"/>
    <x v="25"/>
    <x v="8"/>
    <x v="39"/>
    <n v="808950"/>
    <x v="8"/>
    <d v="2016-02-18T09:37:00"/>
    <d v="2016-02-18T00:00:00"/>
    <d v="2016-02-18T00:00:00"/>
    <x v="133"/>
    <x v="93"/>
    <n v="808950"/>
    <s v="null"/>
  </r>
  <r>
    <n v="808950"/>
    <s v="Emerson "/>
    <s v="Pascarella"/>
    <s v="Emerson 244@abcmail.com"/>
    <x v="2"/>
    <x v="2"/>
    <x v="25"/>
    <x v="8"/>
    <x v="39"/>
    <n v="808950"/>
    <x v="3"/>
    <d v="2016-02-18T16:49:00"/>
    <d v="2016-02-18T00:00:00"/>
    <d v="2016-02-18T00:00:00"/>
    <x v="134"/>
    <x v="69"/>
    <n v="808950"/>
    <s v="null"/>
  </r>
  <r>
    <n v="808950"/>
    <s v="Emerson "/>
    <s v="Pascarella"/>
    <s v="Emerson 244@abcmail.com"/>
    <x v="2"/>
    <x v="2"/>
    <x v="25"/>
    <x v="8"/>
    <x v="39"/>
    <n v="808950"/>
    <x v="4"/>
    <d v="2016-03-06T16:41:00"/>
    <d v="2016-03-06T00:00:00"/>
    <d v="2016-03-06T00:00:00"/>
    <x v="135"/>
    <x v="113"/>
    <n v="808950"/>
    <s v="null"/>
  </r>
  <r>
    <n v="808950"/>
    <s v="Emerson "/>
    <s v="Pascarella"/>
    <s v="Emerson 244@abcmail.com"/>
    <x v="2"/>
    <x v="2"/>
    <x v="25"/>
    <x v="8"/>
    <x v="39"/>
    <n v="808950"/>
    <x v="5"/>
    <d v="2016-03-03T06:23:00"/>
    <d v="2016-03-03T00:00:00"/>
    <d v="2016-03-03T00:00:00"/>
    <x v="136"/>
    <x v="114"/>
    <n v="808950"/>
    <s v="null"/>
  </r>
  <r>
    <n v="808950"/>
    <s v="Emerson "/>
    <s v="Pascarella"/>
    <s v="Emerson 244@abcmail.com"/>
    <x v="2"/>
    <x v="2"/>
    <x v="25"/>
    <x v="8"/>
    <x v="39"/>
    <n v="808950"/>
    <x v="5"/>
    <d v="2016-03-27T12:37:00"/>
    <d v="2016-03-27T00:00:00"/>
    <d v="2016-03-27T00:00:00"/>
    <x v="53"/>
    <x v="115"/>
    <n v="808950"/>
    <s v="null"/>
  </r>
  <r>
    <n v="771823"/>
    <s v="Kyle "/>
    <s v="Mastrangelo"/>
    <s v="Kyle 61@yahoo.com"/>
    <x v="2"/>
    <x v="2"/>
    <x v="2"/>
    <x v="4"/>
    <x v="40"/>
    <n v="771823"/>
    <x v="3"/>
    <d v="2016-02-06T13:10:00"/>
    <d v="2016-02-06T00:00:00"/>
    <d v="2016-02-06T00:00:00"/>
    <x v="137"/>
    <x v="103"/>
    <n v="771823"/>
    <s v="null"/>
  </r>
  <r>
    <n v="779410"/>
    <s v="Yolonda "/>
    <s v="Pascarella"/>
    <s v="Yolonda 131@yahoo.com"/>
    <x v="1"/>
    <x v="4"/>
    <x v="2"/>
    <x v="2"/>
    <x v="41"/>
    <n v="779410"/>
    <x v="9"/>
    <d v="2016-01-21T19:19:00"/>
    <d v="2016-01-21T00:00:00"/>
    <d v="2016-01-21T00:00:00"/>
    <x v="138"/>
    <x v="116"/>
    <n v="779410"/>
    <s v="null"/>
  </r>
  <r>
    <n v="779410"/>
    <s v="Yolonda "/>
    <s v="Pascarella"/>
    <s v="Yolonda 131@yahoo.com"/>
    <x v="1"/>
    <x v="4"/>
    <x v="2"/>
    <x v="2"/>
    <x v="41"/>
    <n v="779410"/>
    <x v="8"/>
    <d v="2016-02-03T14:04:00"/>
    <d v="2016-02-03T00:00:00"/>
    <d v="2016-02-03T00:00:00"/>
    <x v="139"/>
    <x v="117"/>
    <n v="779410"/>
    <s v="null"/>
  </r>
  <r>
    <n v="771830"/>
    <s v="Michel "/>
    <s v="Tancredi"/>
    <s v="Michel 203@mail.com"/>
    <x v="2"/>
    <x v="2"/>
    <x v="26"/>
    <x v="2"/>
    <x v="34"/>
    <n v="771830"/>
    <x v="8"/>
    <d v="2016-01-01T16:43:00"/>
    <d v="2016-01-01T00:00:00"/>
    <d v="2016-01-01T00:00:00"/>
    <x v="140"/>
    <x v="118"/>
    <n v="771830"/>
    <s v="null"/>
  </r>
  <r>
    <n v="507286"/>
    <s v="Yolonda "/>
    <s v="Pascarella"/>
    <s v="Yolonda 324@abcmail.com"/>
    <x v="1"/>
    <x v="0"/>
    <x v="27"/>
    <x v="1"/>
    <x v="42"/>
    <n v="507286"/>
    <x v="8"/>
    <d v="2016-01-02T17:59:00"/>
    <d v="2016-01-02T00:00:00"/>
    <d v="2016-01-02T00:00:00"/>
    <x v="16"/>
    <x v="119"/>
    <n v="507286"/>
    <s v="null"/>
  </r>
  <r>
    <n v="507286"/>
    <s v="Yolonda "/>
    <s v="Pascarella"/>
    <s v="Yolonda 324@abcmail.com"/>
    <x v="1"/>
    <x v="0"/>
    <x v="27"/>
    <x v="1"/>
    <x v="42"/>
    <n v="507286"/>
    <x v="9"/>
    <d v="2016-01-04T19:01:00"/>
    <d v="2016-01-04T00:00:00"/>
    <d v="2016-01-04T00:00:00"/>
    <x v="141"/>
    <x v="120"/>
    <n v="507286"/>
    <s v="null"/>
  </r>
  <r>
    <n v="507286"/>
    <s v="Yolonda "/>
    <s v="Pascarella"/>
    <s v="Yolonda 324@abcmail.com"/>
    <x v="1"/>
    <x v="0"/>
    <x v="27"/>
    <x v="1"/>
    <x v="42"/>
    <n v="507286"/>
    <x v="2"/>
    <d v="2016-01-04T09:31:00"/>
    <d v="2016-01-04T00:00:00"/>
    <d v="2016-01-04T00:00:00"/>
    <x v="142"/>
    <x v="121"/>
    <n v="507286"/>
    <s v="null"/>
  </r>
  <r>
    <n v="507286"/>
    <s v="Yolonda "/>
    <s v="Pascarella"/>
    <s v="Yolonda 324@abcmail.com"/>
    <x v="1"/>
    <x v="0"/>
    <x v="27"/>
    <x v="1"/>
    <x v="42"/>
    <n v="507286"/>
    <x v="9"/>
    <d v="2016-01-04T12:21:00"/>
    <d v="2016-01-04T00:00:00"/>
    <d v="2016-01-04T00:00:00"/>
    <x v="123"/>
    <x v="122"/>
    <n v="507286"/>
    <s v="null"/>
  </r>
  <r>
    <n v="507286"/>
    <s v="Yolonda "/>
    <s v="Pascarella"/>
    <s v="Yolonda 324@abcmail.com"/>
    <x v="1"/>
    <x v="0"/>
    <x v="27"/>
    <x v="1"/>
    <x v="42"/>
    <n v="507286"/>
    <x v="12"/>
    <d v="2016-01-01T07:32:00"/>
    <d v="2016-01-01T00:00:00"/>
    <d v="2016-01-01T00:00:00"/>
    <x v="143"/>
    <x v="112"/>
    <n v="507286"/>
    <s v="null"/>
  </r>
  <r>
    <n v="507286"/>
    <s v="Yolonda "/>
    <s v="Pascarella"/>
    <s v="Yolonda 324@abcmail.com"/>
    <x v="1"/>
    <x v="0"/>
    <x v="27"/>
    <x v="1"/>
    <x v="42"/>
    <n v="507286"/>
    <x v="2"/>
    <d v="2016-01-03T17:00:00"/>
    <d v="2016-01-03T00:00:00"/>
    <d v="2016-01-03T00:00:00"/>
    <x v="144"/>
    <x v="123"/>
    <n v="507286"/>
    <s v="null"/>
  </r>
  <r>
    <n v="18031"/>
    <s v="Lillie "/>
    <s v="Langenfeld"/>
    <s v="Lillie 463@mail.com"/>
    <x v="1"/>
    <x v="2"/>
    <x v="4"/>
    <x v="2"/>
    <x v="43"/>
    <n v="18031"/>
    <x v="4"/>
    <d v="2016-01-28T20:49:00"/>
    <d v="2016-01-28T00:00:00"/>
    <d v="2016-01-28T00:00:00"/>
    <x v="145"/>
    <x v="57"/>
    <n v="18031"/>
    <s v="null"/>
  </r>
  <r>
    <n v="18031"/>
    <s v="Lillie "/>
    <s v="Langenfeld"/>
    <s v="Lillie 463@mail.com"/>
    <x v="1"/>
    <x v="2"/>
    <x v="4"/>
    <x v="2"/>
    <x v="43"/>
    <n v="18031"/>
    <x v="12"/>
    <d v="2016-01-07T01:00:00"/>
    <d v="2016-01-07T00:00:00"/>
    <d v="2016-01-07T00:00:00"/>
    <x v="146"/>
    <x v="124"/>
    <n v="18031"/>
    <s v="null"/>
  </r>
  <r>
    <n v="808958"/>
    <s v="Raymundo "/>
    <s v="Woolard"/>
    <s v="Raymundo 432@gmail.com"/>
    <x v="2"/>
    <x v="2"/>
    <x v="17"/>
    <x v="2"/>
    <x v="18"/>
    <n v="808958"/>
    <x v="5"/>
    <d v="2016-02-21T19:13:00"/>
    <d v="2016-02-21T00:00:00"/>
    <d v="2016-02-21T00:00:00"/>
    <x v="147"/>
    <x v="125"/>
    <n v="808958"/>
    <s v="null"/>
  </r>
  <r>
    <n v="808958"/>
    <s v="Raymundo "/>
    <s v="Woolard"/>
    <s v="Raymundo 432@gmail.com"/>
    <x v="2"/>
    <x v="2"/>
    <x v="17"/>
    <x v="2"/>
    <x v="18"/>
    <n v="808958"/>
    <x v="8"/>
    <d v="2016-02-20T15:26:00"/>
    <d v="2016-02-20T00:00:00"/>
    <d v="2016-02-20T00:00:00"/>
    <x v="148"/>
    <x v="101"/>
    <n v="808958"/>
    <s v="null"/>
  </r>
  <r>
    <n v="808958"/>
    <s v="Raymundo "/>
    <s v="Woolard"/>
    <s v="Raymundo 432@gmail.com"/>
    <x v="2"/>
    <x v="2"/>
    <x v="17"/>
    <x v="2"/>
    <x v="18"/>
    <n v="808958"/>
    <x v="3"/>
    <d v="2016-02-20T19:14:00"/>
    <d v="2016-02-20T00:00:00"/>
    <d v="2016-02-20T00:00:00"/>
    <x v="149"/>
    <x v="89"/>
    <n v="808958"/>
    <s v="null"/>
  </r>
  <r>
    <n v="808958"/>
    <s v="Raymundo "/>
    <s v="Woolard"/>
    <s v="Raymundo 432@gmail.com"/>
    <x v="2"/>
    <x v="2"/>
    <x v="17"/>
    <x v="2"/>
    <x v="18"/>
    <n v="808958"/>
    <x v="2"/>
    <d v="2016-03-02T11:10:00"/>
    <d v="2016-03-02T00:00:00"/>
    <d v="2016-03-02T00:00:00"/>
    <x v="150"/>
    <x v="126"/>
    <n v="808958"/>
    <s v="null"/>
  </r>
  <r>
    <n v="808958"/>
    <s v="Raymundo "/>
    <s v="Woolard"/>
    <s v="Raymundo 432@gmail.com"/>
    <x v="2"/>
    <x v="2"/>
    <x v="17"/>
    <x v="2"/>
    <x v="18"/>
    <n v="808958"/>
    <x v="9"/>
    <d v="2016-02-21T15:56:00"/>
    <d v="2016-02-21T00:00:00"/>
    <d v="2016-02-21T00:00:00"/>
    <x v="151"/>
    <x v="127"/>
    <n v="808958"/>
    <s v="null"/>
  </r>
  <r>
    <n v="808958"/>
    <s v="Raymundo "/>
    <s v="Woolard"/>
    <s v="Raymundo 432@gmail.com"/>
    <x v="2"/>
    <x v="2"/>
    <x v="17"/>
    <x v="2"/>
    <x v="18"/>
    <n v="808958"/>
    <x v="8"/>
    <d v="2016-02-24T20:21:00"/>
    <d v="2016-02-24T00:00:00"/>
    <d v="2016-02-24T00:00:00"/>
    <x v="152"/>
    <x v="128"/>
    <n v="808958"/>
    <s v="null"/>
  </r>
  <r>
    <n v="808958"/>
    <s v="Raymundo "/>
    <s v="Woolard"/>
    <s v="Raymundo 432@gmail.com"/>
    <x v="2"/>
    <x v="2"/>
    <x v="17"/>
    <x v="2"/>
    <x v="18"/>
    <n v="808958"/>
    <x v="9"/>
    <d v="2016-02-24T12:38:00"/>
    <d v="2016-02-24T00:00:00"/>
    <d v="2016-02-24T00:00:00"/>
    <x v="44"/>
    <x v="93"/>
    <n v="808958"/>
    <s v="null"/>
  </r>
  <r>
    <n v="808958"/>
    <s v="Raymundo "/>
    <s v="Woolard"/>
    <s v="Raymundo 432@gmail.com"/>
    <x v="2"/>
    <x v="2"/>
    <x v="17"/>
    <x v="2"/>
    <x v="18"/>
    <n v="808958"/>
    <x v="2"/>
    <d v="2016-03-01T20:49:00"/>
    <d v="2016-03-01T00:00:00"/>
    <d v="2016-03-01T00:00:00"/>
    <x v="145"/>
    <x v="129"/>
    <n v="808958"/>
    <s v="null"/>
  </r>
  <r>
    <n v="793616"/>
    <s v="Michel "/>
    <s v="Biggers"/>
    <s v="Michel 205@mailxyz.com"/>
    <x v="2"/>
    <x v="1"/>
    <x v="28"/>
    <x v="2"/>
    <x v="34"/>
    <n v="793616"/>
    <x v="12"/>
    <d v="2016-01-25T06:11:00"/>
    <d v="2016-01-25T00:00:00"/>
    <d v="2016-01-25T00:00:00"/>
    <x v="153"/>
    <x v="120"/>
    <n v="793616"/>
    <s v="null"/>
  </r>
  <r>
    <n v="793616"/>
    <s v="Michel "/>
    <s v="Biggers"/>
    <s v="Michel 205@mailxyz.com"/>
    <x v="2"/>
    <x v="1"/>
    <x v="28"/>
    <x v="2"/>
    <x v="34"/>
    <n v="793616"/>
    <x v="10"/>
    <d v="2016-01-24T16:16:00"/>
    <d v="2016-01-24T00:00:00"/>
    <d v="2016-01-24T00:00:00"/>
    <x v="48"/>
    <x v="130"/>
    <n v="793616"/>
    <s v="null"/>
  </r>
  <r>
    <n v="764342"/>
    <s v="Robby "/>
    <s v="Nicholls"/>
    <s v="Robby 162@gmail.com"/>
    <x v="2"/>
    <x v="1"/>
    <x v="29"/>
    <x v="1"/>
    <x v="27"/>
    <n v="764342"/>
    <x v="5"/>
    <d v="2016-02-02T08:11:00"/>
    <d v="2016-02-02T00:00:00"/>
    <d v="2016-02-02T00:00:00"/>
    <x v="154"/>
    <x v="131"/>
    <n v="764342"/>
    <s v="null"/>
  </r>
  <r>
    <n v="808961"/>
    <s v="Raymundo "/>
    <s v="Restivo"/>
    <s v="Raymundo 434@abcmail.com"/>
    <x v="2"/>
    <x v="5"/>
    <x v="30"/>
    <x v="2"/>
    <x v="18"/>
    <n v="808961"/>
    <x v="2"/>
    <d v="2016-02-20T03:51:00"/>
    <d v="2016-02-20T00:00:00"/>
    <d v="2016-02-20T00:00:00"/>
    <x v="155"/>
    <x v="132"/>
    <n v="808961"/>
    <s v="null"/>
  </r>
  <r>
    <n v="808961"/>
    <s v="Raymundo "/>
    <s v="Restivo"/>
    <s v="Raymundo 434@abcmail.com"/>
    <x v="2"/>
    <x v="5"/>
    <x v="30"/>
    <x v="2"/>
    <x v="18"/>
    <n v="808961"/>
    <x v="2"/>
    <d v="2016-02-22T18:24:00"/>
    <d v="2016-02-22T00:00:00"/>
    <d v="2016-02-22T00:00:00"/>
    <x v="156"/>
    <x v="133"/>
    <n v="808961"/>
    <s v="null"/>
  </r>
  <r>
    <n v="808965"/>
    <s v="Yong "/>
    <s v="Gettys"/>
    <s v="Yong 482@gmail.com"/>
    <x v="2"/>
    <x v="4"/>
    <x v="15"/>
    <x v="4"/>
    <x v="3"/>
    <n v="808965"/>
    <x v="5"/>
    <d v="2016-02-18T10:55:00"/>
    <d v="2016-02-18T00:00:00"/>
    <d v="2016-02-18T00:00:00"/>
    <x v="157"/>
    <x v="2"/>
    <n v="808965"/>
    <s v="null"/>
  </r>
  <r>
    <n v="808965"/>
    <s v="Yong "/>
    <s v="Gettys"/>
    <s v="Yong 482@gmail.com"/>
    <x v="2"/>
    <x v="4"/>
    <x v="15"/>
    <x v="4"/>
    <x v="3"/>
    <n v="808965"/>
    <x v="4"/>
    <d v="2016-02-15T21:55:00"/>
    <d v="2016-02-15T00:00:00"/>
    <d v="2016-02-15T00:00:00"/>
    <x v="68"/>
    <x v="118"/>
    <n v="808965"/>
    <s v="null"/>
  </r>
  <r>
    <n v="808965"/>
    <s v="Yong "/>
    <s v="Gettys"/>
    <s v="Yong 482@gmail.com"/>
    <x v="2"/>
    <x v="4"/>
    <x v="15"/>
    <x v="4"/>
    <x v="3"/>
    <n v="808965"/>
    <x v="0"/>
    <d v="2016-02-24T14:14:00"/>
    <d v="2016-02-24T00:00:00"/>
    <d v="2016-02-24T00:00:00"/>
    <x v="158"/>
    <x v="134"/>
    <n v="808965"/>
    <s v="null"/>
  </r>
  <r>
    <n v="808965"/>
    <s v="Yong "/>
    <s v="Gettys"/>
    <s v="Yong 482@gmail.com"/>
    <x v="2"/>
    <x v="4"/>
    <x v="15"/>
    <x v="4"/>
    <x v="3"/>
    <n v="808965"/>
    <x v="4"/>
    <d v="2016-02-18T08:44:00"/>
    <d v="2016-02-18T00:00:00"/>
    <d v="2016-02-18T00:00:00"/>
    <x v="159"/>
    <x v="94"/>
    <n v="808965"/>
    <s v="null"/>
  </r>
  <r>
    <n v="808965"/>
    <s v="Yong "/>
    <s v="Gettys"/>
    <s v="Yong 482@gmail.com"/>
    <x v="2"/>
    <x v="4"/>
    <x v="15"/>
    <x v="4"/>
    <x v="3"/>
    <n v="808965"/>
    <x v="4"/>
    <d v="2016-02-06T08:42:00"/>
    <d v="2016-02-06T00:00:00"/>
    <d v="2016-02-06T00:00:00"/>
    <x v="160"/>
    <x v="135"/>
    <n v="808965"/>
    <s v="null"/>
  </r>
  <r>
    <n v="808965"/>
    <s v="Yong "/>
    <s v="Gettys"/>
    <s v="Yong 482@gmail.com"/>
    <x v="2"/>
    <x v="4"/>
    <x v="15"/>
    <x v="4"/>
    <x v="3"/>
    <n v="808965"/>
    <x v="0"/>
    <d v="2016-03-06T11:16:00"/>
    <d v="2016-03-06T00:00:00"/>
    <d v="2016-03-06T00:00:00"/>
    <x v="161"/>
    <x v="136"/>
    <n v="808965"/>
    <s v="null"/>
  </r>
  <r>
    <n v="808965"/>
    <s v="Yong "/>
    <s v="Gettys"/>
    <s v="Yong 482@gmail.com"/>
    <x v="2"/>
    <x v="4"/>
    <x v="15"/>
    <x v="4"/>
    <x v="3"/>
    <n v="808965"/>
    <x v="6"/>
    <d v="2016-02-09T20:54:00"/>
    <d v="2016-02-09T00:00:00"/>
    <d v="2016-02-09T00:00:00"/>
    <x v="162"/>
    <x v="16"/>
    <n v="808965"/>
    <s v="null"/>
  </r>
  <r>
    <n v="788672"/>
    <s v="Eli "/>
    <s v="Pilot"/>
    <s v="Eli 294@abcmail.com"/>
    <x v="2"/>
    <x v="2"/>
    <x v="24"/>
    <x v="2"/>
    <x v="44"/>
    <n v="788672"/>
    <x v="2"/>
    <d v="2016-02-11T21:21:00"/>
    <d v="2016-02-11T00:00:00"/>
    <d v="2016-02-11T00:00:00"/>
    <x v="163"/>
    <x v="137"/>
    <n v="788672"/>
    <s v="null"/>
  </r>
  <r>
    <n v="788672"/>
    <s v="Eli "/>
    <s v="Pilot"/>
    <s v="Eli 294@abcmail.com"/>
    <x v="2"/>
    <x v="2"/>
    <x v="24"/>
    <x v="2"/>
    <x v="44"/>
    <n v="788672"/>
    <x v="10"/>
    <d v="2016-01-19T17:29:00"/>
    <d v="2016-01-19T00:00:00"/>
    <d v="2016-01-19T00:00:00"/>
    <x v="164"/>
    <x v="12"/>
    <n v="788672"/>
    <s v="null"/>
  </r>
  <r>
    <n v="808966"/>
    <s v="Len "/>
    <s v="Reisinger"/>
    <s v="Len 444@abcmail.com"/>
    <x v="2"/>
    <x v="2"/>
    <x v="3"/>
    <x v="8"/>
    <x v="11"/>
    <n v="808966"/>
    <x v="4"/>
    <d v="2016-03-13T12:06:00"/>
    <d v="2016-03-13T00:00:00"/>
    <d v="2016-03-13T00:00:00"/>
    <x v="165"/>
    <x v="138"/>
    <n v="808966"/>
    <s v="null"/>
  </r>
  <r>
    <n v="808966"/>
    <s v="Len "/>
    <s v="Reisinger"/>
    <s v="Len 444@abcmail.com"/>
    <x v="2"/>
    <x v="2"/>
    <x v="3"/>
    <x v="8"/>
    <x v="11"/>
    <n v="808966"/>
    <x v="4"/>
    <d v="2016-03-13T18:22:00"/>
    <d v="2016-03-13T00:00:00"/>
    <d v="2016-03-13T00:00:00"/>
    <x v="166"/>
    <x v="139"/>
    <n v="808966"/>
    <s v="null"/>
  </r>
  <r>
    <n v="808966"/>
    <s v="Len "/>
    <s v="Reisinger"/>
    <s v="Len 444@abcmail.com"/>
    <x v="2"/>
    <x v="2"/>
    <x v="3"/>
    <x v="8"/>
    <x v="11"/>
    <n v="808966"/>
    <x v="4"/>
    <d v="2016-01-19T22:29:00"/>
    <d v="2016-01-19T00:00:00"/>
    <d v="2016-01-19T00:00:00"/>
    <x v="167"/>
    <x v="140"/>
    <n v="808966"/>
    <s v="null"/>
  </r>
  <r>
    <n v="808966"/>
    <s v="Len "/>
    <s v="Reisinger"/>
    <s v="Len 444@abcmail.com"/>
    <x v="2"/>
    <x v="2"/>
    <x v="3"/>
    <x v="8"/>
    <x v="11"/>
    <n v="808966"/>
    <x v="0"/>
    <d v="2016-03-23T10:40:00"/>
    <d v="2016-03-23T00:00:00"/>
    <d v="2016-03-23T00:00:00"/>
    <x v="5"/>
    <x v="141"/>
    <n v="808966"/>
    <s v="null"/>
  </r>
  <r>
    <n v="808966"/>
    <s v="Len "/>
    <s v="Reisinger"/>
    <s v="Len 444@abcmail.com"/>
    <x v="2"/>
    <x v="2"/>
    <x v="3"/>
    <x v="8"/>
    <x v="11"/>
    <n v="808966"/>
    <x v="2"/>
    <d v="2016-03-19T22:17:00"/>
    <d v="2016-03-19T00:00:00"/>
    <d v="2016-03-19T00:00:00"/>
    <x v="168"/>
    <x v="142"/>
    <n v="808966"/>
    <s v="null"/>
  </r>
  <r>
    <n v="808966"/>
    <s v="Len "/>
    <s v="Reisinger"/>
    <s v="Len 444@abcmail.com"/>
    <x v="2"/>
    <x v="2"/>
    <x v="3"/>
    <x v="8"/>
    <x v="11"/>
    <n v="808966"/>
    <x v="10"/>
    <d v="2016-01-27T21:25:00"/>
    <d v="2016-01-27T00:00:00"/>
    <d v="2016-01-27T00:00:00"/>
    <x v="169"/>
    <x v="108"/>
    <n v="808966"/>
    <s v="null"/>
  </r>
  <r>
    <n v="808966"/>
    <s v="Len "/>
    <s v="Reisinger"/>
    <s v="Len 444@abcmail.com"/>
    <x v="2"/>
    <x v="2"/>
    <x v="3"/>
    <x v="8"/>
    <x v="11"/>
    <n v="808966"/>
    <x v="10"/>
    <d v="2016-03-20T15:54:00"/>
    <d v="2016-03-20T00:00:00"/>
    <d v="2016-03-20T00:00:00"/>
    <x v="170"/>
    <x v="143"/>
    <n v="808966"/>
    <s v="null"/>
  </r>
  <r>
    <n v="808966"/>
    <s v="Len "/>
    <s v="Reisinger"/>
    <s v="Len 444@abcmail.com"/>
    <x v="2"/>
    <x v="2"/>
    <x v="3"/>
    <x v="8"/>
    <x v="11"/>
    <n v="808966"/>
    <x v="4"/>
    <d v="2016-03-20T22:18:00"/>
    <d v="2016-03-20T00:00:00"/>
    <d v="2016-03-20T00:00:00"/>
    <x v="171"/>
    <x v="10"/>
    <n v="808966"/>
    <s v="null"/>
  </r>
  <r>
    <n v="808966"/>
    <s v="Len "/>
    <s v="Reisinger"/>
    <s v="Len 444@abcmail.com"/>
    <x v="2"/>
    <x v="2"/>
    <x v="3"/>
    <x v="8"/>
    <x v="11"/>
    <n v="808966"/>
    <x v="4"/>
    <d v="2016-03-20T16:40:00"/>
    <d v="2016-03-20T00:00:00"/>
    <d v="2016-03-20T00:00:00"/>
    <x v="172"/>
    <x v="10"/>
    <n v="808966"/>
    <s v="null"/>
  </r>
  <r>
    <n v="808966"/>
    <s v="Len "/>
    <s v="Reisinger"/>
    <s v="Len 444@abcmail.com"/>
    <x v="2"/>
    <x v="2"/>
    <x v="3"/>
    <x v="8"/>
    <x v="11"/>
    <n v="808966"/>
    <x v="5"/>
    <d v="2016-02-23T06:06:00"/>
    <d v="2016-02-23T00:00:00"/>
    <d v="2016-02-23T00:00:00"/>
    <x v="173"/>
    <x v="144"/>
    <n v="808966"/>
    <s v="null"/>
  </r>
  <r>
    <n v="808966"/>
    <s v="Len "/>
    <s v="Reisinger"/>
    <s v="Len 444@abcmail.com"/>
    <x v="2"/>
    <x v="2"/>
    <x v="3"/>
    <x v="8"/>
    <x v="11"/>
    <n v="808966"/>
    <x v="5"/>
    <d v="2016-03-24T06:14:00"/>
    <d v="2016-03-24T00:00:00"/>
    <d v="2016-03-24T00:00:00"/>
    <x v="174"/>
    <x v="10"/>
    <n v="808966"/>
    <s v="null"/>
  </r>
  <r>
    <n v="786099"/>
    <s v="Bret "/>
    <s v="Marek"/>
    <s v="Bret 312@gmail.com"/>
    <x v="2"/>
    <x v="2"/>
    <x v="19"/>
    <x v="2"/>
    <x v="10"/>
    <n v="786099"/>
    <x v="6"/>
    <d v="2016-02-09T16:10:00"/>
    <d v="2016-02-09T00:00:00"/>
    <d v="2016-02-09T00:00:00"/>
    <x v="175"/>
    <x v="14"/>
    <n v="786099"/>
    <s v="null"/>
  </r>
  <r>
    <n v="808969"/>
    <s v="Hollis "/>
    <s v="Roquemore"/>
    <s v="Hollis 382@gmail.com"/>
    <x v="2"/>
    <x v="2"/>
    <x v="25"/>
    <x v="2"/>
    <x v="29"/>
    <n v="808969"/>
    <x v="4"/>
    <d v="2016-03-03T10:06:00"/>
    <d v="2016-03-03T00:00:00"/>
    <d v="2016-03-03T00:00:00"/>
    <x v="176"/>
    <x v="57"/>
    <n v="808969"/>
    <s v="null"/>
  </r>
  <r>
    <n v="808969"/>
    <s v="Hollis "/>
    <s v="Roquemore"/>
    <s v="Hollis 382@gmail.com"/>
    <x v="2"/>
    <x v="2"/>
    <x v="25"/>
    <x v="2"/>
    <x v="29"/>
    <n v="808969"/>
    <x v="8"/>
    <d v="2016-03-08T12:47:00"/>
    <d v="2016-03-08T00:00:00"/>
    <d v="2016-03-08T00:00:00"/>
    <x v="177"/>
    <x v="145"/>
    <n v="808969"/>
    <s v="null"/>
  </r>
  <r>
    <n v="808969"/>
    <s v="Hollis "/>
    <s v="Roquemore"/>
    <s v="Hollis 382@gmail.com"/>
    <x v="2"/>
    <x v="2"/>
    <x v="25"/>
    <x v="2"/>
    <x v="29"/>
    <n v="808969"/>
    <x v="4"/>
    <d v="2016-01-12T21:58:00"/>
    <d v="2016-01-12T00:00:00"/>
    <d v="2016-01-12T00:00:00"/>
    <x v="178"/>
    <x v="146"/>
    <n v="808969"/>
    <s v="null"/>
  </r>
  <r>
    <n v="808969"/>
    <s v="Hollis "/>
    <s v="Roquemore"/>
    <s v="Hollis 382@gmail.com"/>
    <x v="2"/>
    <x v="2"/>
    <x v="25"/>
    <x v="2"/>
    <x v="29"/>
    <n v="808969"/>
    <x v="8"/>
    <d v="2016-01-13T18:40:00"/>
    <d v="2016-01-13T00:00:00"/>
    <d v="2016-01-13T00:00:00"/>
    <x v="179"/>
    <x v="95"/>
    <n v="808969"/>
    <s v="null"/>
  </r>
  <r>
    <n v="808969"/>
    <s v="Hollis "/>
    <s v="Roquemore"/>
    <s v="Hollis 382@gmail.com"/>
    <x v="2"/>
    <x v="2"/>
    <x v="25"/>
    <x v="2"/>
    <x v="29"/>
    <n v="808969"/>
    <x v="9"/>
    <d v="2016-01-11T22:00:00"/>
    <d v="2016-01-11T00:00:00"/>
    <d v="2016-01-11T00:00:00"/>
    <x v="180"/>
    <x v="75"/>
    <n v="808969"/>
    <s v="null"/>
  </r>
  <r>
    <n v="792729"/>
    <s v="None"/>
    <s v="None"/>
    <s v="Anette 143@mail.com"/>
    <x v="0"/>
    <x v="0"/>
    <x v="0"/>
    <x v="0"/>
    <x v="0"/>
    <n v="792729"/>
    <x v="8"/>
    <d v="2016-03-30T19:50:00"/>
    <d v="2016-03-30T00:00:00"/>
    <d v="2016-03-30T00:00:00"/>
    <x v="181"/>
    <x v="92"/>
    <n v="792729"/>
    <s v="null"/>
  </r>
  <r>
    <n v="808976"/>
    <s v="Kip "/>
    <s v="Roquemore"/>
    <s v="Kip 144@abcmail.com"/>
    <x v="2"/>
    <x v="2"/>
    <x v="31"/>
    <x v="2"/>
    <x v="13"/>
    <n v="808976"/>
    <x v="5"/>
    <d v="2016-03-02T17:30:00"/>
    <d v="2016-03-02T00:00:00"/>
    <d v="2016-03-02T00:00:00"/>
    <x v="182"/>
    <x v="147"/>
    <n v="808976"/>
    <s v="null"/>
  </r>
  <r>
    <n v="803542"/>
    <s v="Romeo "/>
    <s v="Martello"/>
    <s v="Romeo 374@abcmail.com"/>
    <x v="2"/>
    <x v="5"/>
    <x v="15"/>
    <x v="3"/>
    <x v="45"/>
    <n v="803542"/>
    <x v="8"/>
    <d v="2016-03-31T16:52:00"/>
    <d v="2016-03-31T00:00:00"/>
    <d v="2016-03-31T00:00:00"/>
    <x v="183"/>
    <x v="148"/>
    <n v="803542"/>
    <s v="null"/>
  </r>
  <r>
    <n v="593622"/>
    <s v="Meghann "/>
    <s v="Curran"/>
    <s v="Meghann 224@abcmail.com"/>
    <x v="1"/>
    <x v="2"/>
    <x v="30"/>
    <x v="2"/>
    <x v="46"/>
    <n v="593622"/>
    <x v="8"/>
    <d v="2016-01-21T14:05:00"/>
    <d v="2016-01-21T00:00:00"/>
    <d v="2016-01-21T00:00:00"/>
    <x v="184"/>
    <x v="149"/>
    <n v="593622"/>
    <s v="null"/>
  </r>
  <r>
    <n v="771848"/>
    <s v="Yong "/>
    <s v="Shkreli"/>
    <s v="Yong 483@mail.com"/>
    <x v="2"/>
    <x v="2"/>
    <x v="11"/>
    <x v="2"/>
    <x v="3"/>
    <n v="771848"/>
    <x v="7"/>
    <d v="2016-02-11T13:39:00"/>
    <d v="2016-02-11T00:00:00"/>
    <d v="2016-02-11T00:00:00"/>
    <x v="185"/>
    <x v="93"/>
    <n v="771848"/>
    <s v="null"/>
  </r>
  <r>
    <n v="771848"/>
    <s v="Yong "/>
    <s v="Shkreli"/>
    <s v="Yong 483@mail.com"/>
    <x v="2"/>
    <x v="2"/>
    <x v="11"/>
    <x v="2"/>
    <x v="3"/>
    <n v="771848"/>
    <x v="2"/>
    <d v="2016-02-10T21:55:00"/>
    <d v="2016-02-10T00:00:00"/>
    <d v="2016-02-10T00:00:00"/>
    <x v="68"/>
    <x v="150"/>
    <n v="771848"/>
    <s v="null"/>
  </r>
  <r>
    <n v="771848"/>
    <s v="Yong "/>
    <s v="Shkreli"/>
    <s v="Yong 483@mail.com"/>
    <x v="2"/>
    <x v="2"/>
    <x v="11"/>
    <x v="2"/>
    <x v="3"/>
    <n v="771848"/>
    <x v="2"/>
    <d v="2016-01-01T20:54:00"/>
    <d v="2016-01-01T00:00:00"/>
    <d v="2016-01-01T00:00:00"/>
    <x v="162"/>
    <x v="151"/>
    <n v="771848"/>
    <s v="null"/>
  </r>
  <r>
    <n v="771848"/>
    <s v="Yong "/>
    <s v="Shkreli"/>
    <s v="Yong 483@mail.com"/>
    <x v="2"/>
    <x v="2"/>
    <x v="11"/>
    <x v="2"/>
    <x v="3"/>
    <n v="771848"/>
    <x v="4"/>
    <d v="2016-01-22T15:02:00"/>
    <d v="2016-01-22T00:00:00"/>
    <d v="2016-01-22T00:00:00"/>
    <x v="128"/>
    <x v="152"/>
    <n v="771848"/>
    <s v="null"/>
  </r>
  <r>
    <n v="771848"/>
    <s v="Yong "/>
    <s v="Shkreli"/>
    <s v="Yong 483@mail.com"/>
    <x v="2"/>
    <x v="2"/>
    <x v="11"/>
    <x v="2"/>
    <x v="3"/>
    <n v="771848"/>
    <x v="4"/>
    <d v="2016-01-18T14:43:00"/>
    <d v="2016-01-18T00:00:00"/>
    <d v="2016-01-18T00:00:00"/>
    <x v="186"/>
    <x v="153"/>
    <n v="771848"/>
    <s v="null"/>
  </r>
  <r>
    <n v="764355"/>
    <s v="Lloyd "/>
    <s v="Mccown"/>
    <s v="Lloyd 73@mail.com"/>
    <x v="2"/>
    <x v="1"/>
    <x v="7"/>
    <x v="2"/>
    <x v="47"/>
    <n v="764355"/>
    <x v="3"/>
    <d v="2016-01-22T16:42:00"/>
    <d v="2016-01-22T00:00:00"/>
    <d v="2016-01-22T00:00:00"/>
    <x v="187"/>
    <x v="154"/>
    <n v="764355"/>
    <s v="null"/>
  </r>
  <r>
    <n v="771849"/>
    <s v="Stephen "/>
    <s v="Leicht"/>
    <s v="Stephen 152@gmail.com"/>
    <x v="2"/>
    <x v="0"/>
    <x v="32"/>
    <x v="2"/>
    <x v="48"/>
    <n v="771849"/>
    <x v="10"/>
    <d v="2016-02-19T23:17:00"/>
    <d v="2016-02-19T00:00:00"/>
    <d v="2016-02-19T00:00:00"/>
    <x v="188"/>
    <x v="155"/>
    <n v="771849"/>
    <s v="null"/>
  </r>
  <r>
    <n v="771849"/>
    <s v="Stephen "/>
    <s v="Leicht"/>
    <s v="Stephen 152@gmail.com"/>
    <x v="2"/>
    <x v="0"/>
    <x v="32"/>
    <x v="2"/>
    <x v="48"/>
    <n v="771849"/>
    <x v="1"/>
    <d v="2016-02-19T23:22:00"/>
    <d v="2016-02-19T00:00:00"/>
    <d v="2016-02-19T00:00:00"/>
    <x v="189"/>
    <x v="9"/>
    <n v="771849"/>
    <s v="null"/>
  </r>
  <r>
    <n v="771849"/>
    <s v="Stephen "/>
    <s v="Leicht"/>
    <s v="Stephen 152@gmail.com"/>
    <x v="2"/>
    <x v="0"/>
    <x v="32"/>
    <x v="2"/>
    <x v="48"/>
    <n v="771849"/>
    <x v="4"/>
    <d v="2016-02-06T17:00:00"/>
    <d v="2016-02-06T00:00:00"/>
    <d v="2016-02-06T00:00:00"/>
    <x v="144"/>
    <x v="12"/>
    <n v="771849"/>
    <s v="null"/>
  </r>
  <r>
    <n v="808979"/>
    <s v="Bess "/>
    <s v="Jacox"/>
    <s v="Bess 52@gmail.com"/>
    <x v="1"/>
    <x v="1"/>
    <x v="2"/>
    <x v="8"/>
    <x v="49"/>
    <n v="808979"/>
    <x v="6"/>
    <d v="2016-02-22T21:30:00"/>
    <d v="2016-02-22T00:00:00"/>
    <d v="2016-02-22T00:00:00"/>
    <x v="190"/>
    <x v="156"/>
    <n v="808979"/>
    <s v="null"/>
  </r>
  <r>
    <n v="621621"/>
    <s v="Jared "/>
    <s v="Pool"/>
    <s v="Jared 504@abcmail.com"/>
    <x v="2"/>
    <x v="2"/>
    <x v="8"/>
    <x v="2"/>
    <x v="50"/>
    <n v="621621"/>
    <x v="1"/>
    <d v="2016-01-17T17:21:00"/>
    <d v="2016-01-17T00:00:00"/>
    <d v="2016-01-17T00:00:00"/>
    <x v="191"/>
    <x v="37"/>
    <n v="621621"/>
    <s v="null"/>
  </r>
  <r>
    <n v="808983"/>
    <s v="Dee "/>
    <s v="Mccown"/>
    <s v="Dee 215@mailxyz.com"/>
    <x v="2"/>
    <x v="4"/>
    <x v="33"/>
    <x v="4"/>
    <x v="20"/>
    <n v="808983"/>
    <x v="12"/>
    <d v="2016-02-15T22:41:00"/>
    <d v="2016-02-15T00:00:00"/>
    <d v="2016-02-15T00:00:00"/>
    <x v="192"/>
    <x v="157"/>
    <n v="808983"/>
    <s v="null"/>
  </r>
  <r>
    <n v="808983"/>
    <s v="Dee "/>
    <s v="Mccown"/>
    <s v="Dee 215@mailxyz.com"/>
    <x v="2"/>
    <x v="4"/>
    <x v="33"/>
    <x v="4"/>
    <x v="20"/>
    <n v="808983"/>
    <x v="4"/>
    <d v="2016-02-13T21:34:00"/>
    <d v="2016-02-13T00:00:00"/>
    <d v="2016-02-13T00:00:00"/>
    <x v="193"/>
    <x v="10"/>
    <n v="808983"/>
    <s v="null"/>
  </r>
  <r>
    <n v="772142"/>
    <s v="Royal "/>
    <s v="Nicholls"/>
    <s v="Royal 171@yahoo.com"/>
    <x v="2"/>
    <x v="5"/>
    <x v="13"/>
    <x v="4"/>
    <x v="23"/>
    <n v="772142"/>
    <x v="2"/>
    <d v="2016-03-10T22:10:00"/>
    <d v="2016-03-10T00:00:00"/>
    <d v="2016-03-10T00:00:00"/>
    <x v="59"/>
    <x v="153"/>
    <n v="772142"/>
    <s v="null"/>
  </r>
  <r>
    <n v="771003"/>
    <s v="Romeo "/>
    <s v="Tancredi"/>
    <s v="Romeo 372@gmail.com"/>
    <x v="2"/>
    <x v="4"/>
    <x v="22"/>
    <x v="4"/>
    <x v="45"/>
    <n v="771003"/>
    <x v="0"/>
    <d v="2016-02-26T13:17:00"/>
    <d v="2016-02-26T00:00:00"/>
    <d v="2016-02-26T00:00:00"/>
    <x v="194"/>
    <x v="65"/>
    <n v="771003"/>
    <s v="null"/>
  </r>
  <r>
    <n v="771003"/>
    <s v="Romeo "/>
    <s v="Tancredi"/>
    <s v="Romeo 372@gmail.com"/>
    <x v="2"/>
    <x v="4"/>
    <x v="22"/>
    <x v="4"/>
    <x v="45"/>
    <n v="771003"/>
    <x v="9"/>
    <d v="2016-02-26T16:11:00"/>
    <d v="2016-02-26T00:00:00"/>
    <d v="2016-02-26T00:00:00"/>
    <x v="92"/>
    <x v="33"/>
    <n v="771003"/>
    <s v="null"/>
  </r>
  <r>
    <n v="771003"/>
    <s v="Romeo "/>
    <s v="Tancredi"/>
    <s v="Romeo 372@gmail.com"/>
    <x v="2"/>
    <x v="4"/>
    <x v="22"/>
    <x v="4"/>
    <x v="45"/>
    <n v="771003"/>
    <x v="1"/>
    <d v="2016-02-27T18:24:00"/>
    <d v="2016-02-27T00:00:00"/>
    <d v="2016-02-27T00:00:00"/>
    <x v="156"/>
    <x v="57"/>
    <n v="771003"/>
    <s v="null"/>
  </r>
  <r>
    <n v="808984"/>
    <s v="Len "/>
    <s v="Hier"/>
    <s v="Len 441@yahoo.com"/>
    <x v="2"/>
    <x v="4"/>
    <x v="34"/>
    <x v="4"/>
    <x v="11"/>
    <n v="808984"/>
    <x v="14"/>
    <d v="2016-02-19T17:58:00"/>
    <d v="2016-02-19T00:00:00"/>
    <d v="2016-02-19T00:00:00"/>
    <x v="14"/>
    <x v="102"/>
    <n v="808984"/>
    <s v="null"/>
  </r>
  <r>
    <n v="771855"/>
    <s v="Rebekah "/>
    <s v="Paradis"/>
    <s v="Rebekah 435@mailxyz.com"/>
    <x v="1"/>
    <x v="2"/>
    <x v="33"/>
    <x v="9"/>
    <x v="51"/>
    <n v="771855"/>
    <x v="10"/>
    <d v="2016-02-19T03:15:00"/>
    <d v="2016-02-19T00:00:00"/>
    <d v="2016-02-19T00:00:00"/>
    <x v="195"/>
    <x v="158"/>
    <n v="771855"/>
    <s v="null"/>
  </r>
  <r>
    <n v="733281"/>
    <s v="Bret "/>
    <s v="Mcclaine"/>
    <s v="Bret 313@mail.com"/>
    <x v="2"/>
    <x v="2"/>
    <x v="12"/>
    <x v="2"/>
    <x v="10"/>
    <n v="733281"/>
    <x v="8"/>
    <d v="2016-01-26T18:09:00"/>
    <d v="2016-01-26T00:00:00"/>
    <d v="2016-01-26T00:00:00"/>
    <x v="196"/>
    <x v="25"/>
    <n v="733281"/>
    <s v="null"/>
  </r>
  <r>
    <n v="771856"/>
    <s v="Charlie "/>
    <s v="Nicholls"/>
    <s v="Charlie 364@abcmail.com"/>
    <x v="2"/>
    <x v="0"/>
    <x v="7"/>
    <x v="3"/>
    <x v="52"/>
    <n v="771856"/>
    <x v="8"/>
    <d v="2016-02-06T11:28:00"/>
    <d v="2016-02-06T00:00:00"/>
    <d v="2016-02-06T00:00:00"/>
    <x v="34"/>
    <x v="159"/>
    <n v="771856"/>
    <s v="null"/>
  </r>
  <r>
    <n v="808988"/>
    <s v="Robby "/>
    <s v="Roquemore"/>
    <s v="Robby 163@mail.com"/>
    <x v="2"/>
    <x v="2"/>
    <x v="6"/>
    <x v="2"/>
    <x v="27"/>
    <n v="808988"/>
    <x v="12"/>
    <d v="2016-02-20T15:41:00"/>
    <d v="2016-02-20T00:00:00"/>
    <d v="2016-02-20T00:00:00"/>
    <x v="47"/>
    <x v="85"/>
    <n v="808988"/>
    <s v="null"/>
  </r>
  <r>
    <n v="808988"/>
    <s v="Robby "/>
    <s v="Roquemore"/>
    <s v="Robby 163@mail.com"/>
    <x v="2"/>
    <x v="2"/>
    <x v="6"/>
    <x v="2"/>
    <x v="27"/>
    <n v="808988"/>
    <x v="4"/>
    <d v="2016-02-20T17:48:00"/>
    <d v="2016-02-20T00:00:00"/>
    <d v="2016-02-20T00:00:00"/>
    <x v="197"/>
    <x v="160"/>
    <n v="808988"/>
    <s v="null"/>
  </r>
  <r>
    <n v="808988"/>
    <s v="Robby "/>
    <s v="Roquemore"/>
    <s v="Robby 163@mail.com"/>
    <x v="2"/>
    <x v="2"/>
    <x v="6"/>
    <x v="2"/>
    <x v="27"/>
    <n v="808988"/>
    <x v="3"/>
    <d v="2016-02-21T00:02:00"/>
    <d v="2016-02-21T00:00:00"/>
    <d v="2016-02-21T00:00:00"/>
    <x v="198"/>
    <x v="161"/>
    <n v="808988"/>
    <s v="null"/>
  </r>
  <r>
    <n v="808988"/>
    <s v="Robby "/>
    <s v="Roquemore"/>
    <s v="Robby 163@mail.com"/>
    <x v="2"/>
    <x v="2"/>
    <x v="6"/>
    <x v="2"/>
    <x v="27"/>
    <n v="808988"/>
    <x v="12"/>
    <d v="2016-02-21T00:04:00"/>
    <d v="2016-02-21T00:00:00"/>
    <d v="2016-02-21T00:00:00"/>
    <x v="199"/>
    <x v="154"/>
    <n v="808988"/>
    <s v="null"/>
  </r>
  <r>
    <n v="730254"/>
    <s v="Stephen "/>
    <s v="Paradis"/>
    <s v="Stephen 151@yahoo.com"/>
    <x v="2"/>
    <x v="2"/>
    <x v="2"/>
    <x v="2"/>
    <x v="48"/>
    <n v="730254"/>
    <x v="3"/>
    <d v="2016-01-21T11:02:00"/>
    <d v="2016-01-21T00:00:00"/>
    <d v="2016-01-21T00:00:00"/>
    <x v="200"/>
    <x v="162"/>
    <n v="730254"/>
    <s v="null"/>
  </r>
  <r>
    <n v="771858"/>
    <s v="Hugh"/>
    <s v="Mcculloch"/>
    <s v="Hugh14@abcmail.com"/>
    <x v="2"/>
    <x v="1"/>
    <x v="30"/>
    <x v="2"/>
    <x v="14"/>
    <n v="771858"/>
    <x v="4"/>
    <d v="2016-03-05T13:37:00"/>
    <d v="2016-03-05T00:00:00"/>
    <d v="2016-03-05T00:00:00"/>
    <x v="201"/>
    <x v="163"/>
    <n v="771858"/>
    <s v="null"/>
  </r>
  <r>
    <n v="808990"/>
    <s v="Efren "/>
    <s v="Restivo"/>
    <s v="Efren 133@mail.com"/>
    <x v="2"/>
    <x v="4"/>
    <x v="24"/>
    <x v="4"/>
    <x v="53"/>
    <n v="808990"/>
    <x v="0"/>
    <d v="2016-02-24T10:47:00"/>
    <d v="2016-02-24T00:00:00"/>
    <d v="2016-02-24T00:00:00"/>
    <x v="202"/>
    <x v="90"/>
    <n v="808990"/>
    <s v="null"/>
  </r>
  <r>
    <n v="778615"/>
    <s v="None"/>
    <s v="None"/>
    <s v="Seema 484@abcmail.com"/>
    <x v="0"/>
    <x v="0"/>
    <x v="0"/>
    <x v="0"/>
    <x v="0"/>
    <n v="778615"/>
    <x v="3"/>
    <d v="2016-03-12T17:45:00"/>
    <d v="2016-03-12T00:00:00"/>
    <d v="2016-03-12T00:00:00"/>
    <x v="203"/>
    <x v="122"/>
    <n v="778615"/>
    <s v="null"/>
  </r>
  <r>
    <n v="771867"/>
    <s v="Brendan "/>
    <s v="Zweifel"/>
    <s v="Brendan 451@yahoo.com"/>
    <x v="2"/>
    <x v="2"/>
    <x v="35"/>
    <x v="2"/>
    <x v="54"/>
    <n v="771867"/>
    <x v="12"/>
    <d v="2016-02-05T07:40:00"/>
    <d v="2016-02-05T00:00:00"/>
    <d v="2016-02-05T00:00:00"/>
    <x v="204"/>
    <x v="164"/>
    <n v="771867"/>
    <s v="null"/>
  </r>
  <r>
    <n v="771867"/>
    <s v="Brendan "/>
    <s v="Zweifel"/>
    <s v="Brendan 451@yahoo.com"/>
    <x v="2"/>
    <x v="2"/>
    <x v="35"/>
    <x v="2"/>
    <x v="54"/>
    <n v="771867"/>
    <x v="8"/>
    <d v="2016-03-02T00:04:00"/>
    <d v="2016-03-02T00:00:00"/>
    <d v="2016-03-02T00:00:00"/>
    <x v="199"/>
    <x v="165"/>
    <n v="771867"/>
    <s v="null"/>
  </r>
  <r>
    <n v="771867"/>
    <s v="Brendan "/>
    <s v="Zweifel"/>
    <s v="Brendan 451@yahoo.com"/>
    <x v="2"/>
    <x v="2"/>
    <x v="35"/>
    <x v="2"/>
    <x v="54"/>
    <n v="771867"/>
    <x v="11"/>
    <d v="2016-03-13T09:08:00"/>
    <d v="2016-03-13T00:00:00"/>
    <d v="2016-03-13T00:00:00"/>
    <x v="205"/>
    <x v="166"/>
    <n v="771867"/>
    <s v="null"/>
  </r>
  <r>
    <n v="771867"/>
    <s v="Brendan "/>
    <s v="Zweifel"/>
    <s v="Brendan 451@yahoo.com"/>
    <x v="2"/>
    <x v="2"/>
    <x v="35"/>
    <x v="2"/>
    <x v="54"/>
    <n v="771867"/>
    <x v="4"/>
    <d v="2016-03-13T23:05:00"/>
    <d v="2016-03-13T00:00:00"/>
    <d v="2016-03-13T00:00:00"/>
    <x v="206"/>
    <x v="10"/>
    <n v="771867"/>
    <s v="null"/>
  </r>
  <r>
    <n v="771867"/>
    <s v="Brendan "/>
    <s v="Zweifel"/>
    <s v="Brendan 451@yahoo.com"/>
    <x v="2"/>
    <x v="2"/>
    <x v="35"/>
    <x v="2"/>
    <x v="54"/>
    <n v="771867"/>
    <x v="5"/>
    <d v="2016-01-31T18:42:00"/>
    <d v="2016-01-31T00:00:00"/>
    <d v="2016-01-31T00:00:00"/>
    <x v="207"/>
    <x v="115"/>
    <n v="771867"/>
    <s v="null"/>
  </r>
  <r>
    <n v="771867"/>
    <s v="Brendan "/>
    <s v="Zweifel"/>
    <s v="Brendan 451@yahoo.com"/>
    <x v="2"/>
    <x v="2"/>
    <x v="35"/>
    <x v="2"/>
    <x v="54"/>
    <n v="771867"/>
    <x v="12"/>
    <d v="2016-01-17T18:56:00"/>
    <d v="2016-01-17T00:00:00"/>
    <d v="2016-01-17T00:00:00"/>
    <x v="2"/>
    <x v="57"/>
    <n v="771867"/>
    <s v="null"/>
  </r>
  <r>
    <n v="771867"/>
    <s v="Brendan "/>
    <s v="Zweifel"/>
    <s v="Brendan 451@yahoo.com"/>
    <x v="2"/>
    <x v="2"/>
    <x v="35"/>
    <x v="2"/>
    <x v="54"/>
    <n v="771867"/>
    <x v="4"/>
    <d v="2016-01-22T16:14:00"/>
    <d v="2016-01-22T00:00:00"/>
    <d v="2016-01-22T00:00:00"/>
    <x v="208"/>
    <x v="167"/>
    <n v="771867"/>
    <s v="null"/>
  </r>
  <r>
    <n v="771867"/>
    <s v="Brendan "/>
    <s v="Zweifel"/>
    <s v="Brendan 451@yahoo.com"/>
    <x v="2"/>
    <x v="2"/>
    <x v="35"/>
    <x v="2"/>
    <x v="54"/>
    <n v="771867"/>
    <x v="10"/>
    <d v="2016-01-30T21:20:00"/>
    <d v="2016-01-30T00:00:00"/>
    <d v="2016-01-30T00:00:00"/>
    <x v="209"/>
    <x v="168"/>
    <n v="771867"/>
    <s v="null"/>
  </r>
  <r>
    <n v="771867"/>
    <s v="Brendan "/>
    <s v="Zweifel"/>
    <s v="Brendan 451@yahoo.com"/>
    <x v="2"/>
    <x v="2"/>
    <x v="35"/>
    <x v="2"/>
    <x v="54"/>
    <n v="771867"/>
    <x v="10"/>
    <d v="2016-01-18T18:12:00"/>
    <d v="2016-01-18T00:00:00"/>
    <d v="2016-01-18T00:00:00"/>
    <x v="120"/>
    <x v="169"/>
    <n v="771867"/>
    <s v="null"/>
  </r>
  <r>
    <n v="771867"/>
    <s v="Brendan "/>
    <s v="Zweifel"/>
    <s v="Brendan 451@yahoo.com"/>
    <x v="2"/>
    <x v="2"/>
    <x v="35"/>
    <x v="2"/>
    <x v="54"/>
    <n v="771867"/>
    <x v="10"/>
    <d v="2016-03-31T19:57:00"/>
    <d v="2016-03-31T00:00:00"/>
    <d v="2016-03-31T00:00:00"/>
    <x v="210"/>
    <x v="170"/>
    <n v="771867"/>
    <s v="null"/>
  </r>
  <r>
    <n v="18072"/>
    <s v="Art "/>
    <s v="Creager"/>
    <s v="Art 402@gmail.com"/>
    <x v="2"/>
    <x v="1"/>
    <x v="4"/>
    <x v="4"/>
    <x v="9"/>
    <n v="18072"/>
    <x v="9"/>
    <d v="2016-01-16T19:09:00"/>
    <d v="2016-01-16T00:00:00"/>
    <d v="2016-01-16T00:00:00"/>
    <x v="211"/>
    <x v="171"/>
    <n v="18072"/>
    <s v="null"/>
  </r>
  <r>
    <n v="27318"/>
    <s v="None"/>
    <s v="None"/>
    <s v="Bess 32@gmail.com"/>
    <x v="0"/>
    <x v="0"/>
    <x v="0"/>
    <x v="0"/>
    <x v="0"/>
    <n v="27318"/>
    <x v="0"/>
    <d v="2016-03-26T20:48:00"/>
    <d v="2016-03-26T00:00:00"/>
    <d v="2016-03-26T00:00:00"/>
    <x v="212"/>
    <x v="92"/>
    <n v="27318"/>
    <s v="null"/>
  </r>
  <r>
    <n v="779442"/>
    <s v="Alecia "/>
    <s v="Roquemore"/>
    <s v="Alecia 415@mailxyz.com"/>
    <x v="1"/>
    <x v="2"/>
    <x v="22"/>
    <x v="8"/>
    <x v="55"/>
    <n v="779442"/>
    <x v="13"/>
    <d v="2016-01-18T23:54:00"/>
    <d v="2016-01-18T00:00:00"/>
    <d v="2016-01-18T00:00:00"/>
    <x v="213"/>
    <x v="10"/>
    <n v="779442"/>
    <s v="null"/>
  </r>
  <r>
    <n v="779442"/>
    <s v="Alecia "/>
    <s v="Roquemore"/>
    <s v="Alecia 415@mailxyz.com"/>
    <x v="1"/>
    <x v="2"/>
    <x v="22"/>
    <x v="8"/>
    <x v="55"/>
    <n v="779442"/>
    <x v="3"/>
    <d v="2016-01-19T00:04:00"/>
    <d v="2016-01-19T00:00:00"/>
    <d v="2016-01-19T00:00:00"/>
    <x v="199"/>
    <x v="57"/>
    <n v="779442"/>
    <s v="null"/>
  </r>
  <r>
    <n v="779442"/>
    <s v="Alecia "/>
    <s v="Roquemore"/>
    <s v="Alecia 415@mailxyz.com"/>
    <x v="1"/>
    <x v="2"/>
    <x v="22"/>
    <x v="8"/>
    <x v="55"/>
    <n v="779442"/>
    <x v="3"/>
    <d v="2016-01-22T16:13:00"/>
    <d v="2016-01-22T00:00:00"/>
    <d v="2016-01-22T00:00:00"/>
    <x v="214"/>
    <x v="172"/>
    <n v="779442"/>
    <s v="null"/>
  </r>
  <r>
    <n v="39353"/>
    <s v="None"/>
    <s v="None"/>
    <s v="Rebekah 374@abcmail.com"/>
    <x v="0"/>
    <x v="0"/>
    <x v="0"/>
    <x v="0"/>
    <x v="0"/>
    <n v="39353"/>
    <x v="8"/>
    <d v="2016-01-05T03:54:00"/>
    <d v="2016-01-05T00:00:00"/>
    <d v="2016-01-05T00:00:00"/>
    <x v="215"/>
    <x v="173"/>
    <n v="39353"/>
    <s v="null"/>
  </r>
  <r>
    <n v="45769"/>
    <s v="None"/>
    <s v="None"/>
    <s v="Emilie 443@mail.com"/>
    <x v="0"/>
    <x v="0"/>
    <x v="0"/>
    <x v="0"/>
    <x v="0"/>
    <n v="45769"/>
    <x v="0"/>
    <d v="2016-03-12T13:28:00"/>
    <d v="2016-03-12T00:00:00"/>
    <d v="2016-03-12T00:00:00"/>
    <x v="216"/>
    <x v="174"/>
    <n v="45769"/>
    <s v="null"/>
  </r>
  <r>
    <n v="808997"/>
    <s v="Shane "/>
    <s v="Mccown"/>
    <s v="Shane 22@gmail.com"/>
    <x v="2"/>
    <x v="2"/>
    <x v="30"/>
    <x v="6"/>
    <x v="17"/>
    <n v="808997"/>
    <x v="8"/>
    <d v="2016-02-19T12:41:00"/>
    <d v="2016-02-19T00:00:00"/>
    <d v="2016-02-19T00:00:00"/>
    <x v="217"/>
    <x v="175"/>
    <n v="808997"/>
    <s v="null"/>
  </r>
  <r>
    <n v="808997"/>
    <s v="Shane "/>
    <s v="Mccown"/>
    <s v="Shane 22@gmail.com"/>
    <x v="2"/>
    <x v="2"/>
    <x v="30"/>
    <x v="6"/>
    <x v="17"/>
    <n v="808997"/>
    <x v="3"/>
    <d v="2016-02-19T20:27:00"/>
    <d v="2016-02-19T00:00:00"/>
    <d v="2016-02-19T00:00:00"/>
    <x v="218"/>
    <x v="10"/>
    <n v="808997"/>
    <s v="null"/>
  </r>
  <r>
    <n v="808997"/>
    <s v="Shane "/>
    <s v="Mccown"/>
    <s v="Shane 22@gmail.com"/>
    <x v="2"/>
    <x v="2"/>
    <x v="30"/>
    <x v="6"/>
    <x v="17"/>
    <n v="808997"/>
    <x v="3"/>
    <d v="2016-03-22T06:33:00"/>
    <d v="2016-03-22T00:00:00"/>
    <d v="2016-03-22T00:00:00"/>
    <x v="219"/>
    <x v="176"/>
    <n v="808997"/>
    <s v="null"/>
  </r>
  <r>
    <n v="808997"/>
    <s v="Shane "/>
    <s v="Mccown"/>
    <s v="Shane 22@gmail.com"/>
    <x v="2"/>
    <x v="2"/>
    <x v="30"/>
    <x v="6"/>
    <x v="17"/>
    <n v="808997"/>
    <x v="3"/>
    <d v="2016-02-25T07:24:00"/>
    <d v="2016-02-25T00:00:00"/>
    <d v="2016-02-25T00:00:00"/>
    <x v="220"/>
    <x v="177"/>
    <n v="808997"/>
    <s v="null"/>
  </r>
  <r>
    <n v="808997"/>
    <s v="Shane "/>
    <s v="Mccown"/>
    <s v="Shane 22@gmail.com"/>
    <x v="2"/>
    <x v="2"/>
    <x v="30"/>
    <x v="6"/>
    <x v="17"/>
    <n v="808997"/>
    <x v="3"/>
    <d v="2016-01-27T08:12:00"/>
    <d v="2016-01-27T00:00:00"/>
    <d v="2016-01-27T00:00:00"/>
    <x v="221"/>
    <x v="9"/>
    <n v="808997"/>
    <s v="null"/>
  </r>
  <r>
    <n v="808997"/>
    <s v="Shane "/>
    <s v="Mccown"/>
    <s v="Shane 22@gmail.com"/>
    <x v="2"/>
    <x v="2"/>
    <x v="30"/>
    <x v="6"/>
    <x v="17"/>
    <n v="808997"/>
    <x v="3"/>
    <d v="2016-02-01T06:54:00"/>
    <d v="2016-02-01T00:00:00"/>
    <d v="2016-02-01T00:00:00"/>
    <x v="222"/>
    <x v="178"/>
    <n v="808997"/>
    <s v="null"/>
  </r>
  <r>
    <n v="69889"/>
    <s v="Hugh"/>
    <s v="Sytsma"/>
    <s v="Hugh11@yahoo.com"/>
    <x v="2"/>
    <x v="4"/>
    <x v="36"/>
    <x v="4"/>
    <x v="14"/>
    <n v="69889"/>
    <x v="2"/>
    <d v="2016-03-06T19:54:00"/>
    <d v="2016-03-06T00:00:00"/>
    <d v="2016-03-06T00:00:00"/>
    <x v="223"/>
    <x v="179"/>
    <n v="69889"/>
    <s v="null"/>
  </r>
  <r>
    <n v="71491"/>
    <s v="Filiberto "/>
    <s v="Mastrangelo"/>
    <s v="Filiberto 45@mailxyz.com"/>
    <x v="2"/>
    <x v="3"/>
    <x v="17"/>
    <x v="2"/>
    <x v="7"/>
    <n v="71491"/>
    <x v="12"/>
    <d v="2016-03-25T18:53:00"/>
    <d v="2016-03-25T00:00:00"/>
    <d v="2016-03-25T00:00:00"/>
    <x v="27"/>
    <x v="69"/>
    <n v="71491"/>
    <s v="null"/>
  </r>
  <r>
    <n v="71491"/>
    <s v="Filiberto "/>
    <s v="Mastrangelo"/>
    <s v="Filiberto 45@mailxyz.com"/>
    <x v="2"/>
    <x v="3"/>
    <x v="17"/>
    <x v="2"/>
    <x v="7"/>
    <n v="71491"/>
    <x v="8"/>
    <d v="2016-03-26T09:02:00"/>
    <d v="2016-03-26T00:00:00"/>
    <d v="2016-03-26T00:00:00"/>
    <x v="114"/>
    <x v="25"/>
    <n v="71491"/>
    <s v="null"/>
  </r>
  <r>
    <n v="82389"/>
    <s v="None"/>
    <s v="None"/>
    <s v="Sharri 332@gmail.com"/>
    <x v="0"/>
    <x v="0"/>
    <x v="0"/>
    <x v="0"/>
    <x v="0"/>
    <n v="82389"/>
    <x v="13"/>
    <d v="2016-01-08T13:33:00"/>
    <d v="2016-01-08T00:00:00"/>
    <d v="2016-01-08T00:00:00"/>
    <x v="224"/>
    <x v="180"/>
    <n v="82389"/>
    <s v="null"/>
  </r>
  <r>
    <n v="82780"/>
    <s v="None"/>
    <s v="None"/>
    <s v="Gretta 45@mailxyz.com"/>
    <x v="0"/>
    <x v="0"/>
    <x v="0"/>
    <x v="0"/>
    <x v="0"/>
    <n v="82780"/>
    <x v="3"/>
    <d v="2016-03-26T08:54:00"/>
    <d v="2016-03-26T00:00:00"/>
    <d v="2016-03-26T00:00:00"/>
    <x v="225"/>
    <x v="181"/>
    <n v="82780"/>
    <s v="null"/>
  </r>
  <r>
    <n v="83865"/>
    <s v="None"/>
    <s v="None"/>
    <s v="Bess 134@abcmail.com"/>
    <x v="0"/>
    <x v="0"/>
    <x v="0"/>
    <x v="0"/>
    <x v="0"/>
    <n v="83865"/>
    <x v="14"/>
    <d v="2016-01-18T20:23:00"/>
    <d v="2016-01-18T00:00:00"/>
    <d v="2016-01-18T00:00:00"/>
    <x v="226"/>
    <x v="95"/>
    <n v="83865"/>
    <s v="null"/>
  </r>
  <r>
    <n v="85945"/>
    <s v="Emerson "/>
    <s v="Sytsma"/>
    <s v="Emerson 244@abcmail.com"/>
    <x v="2"/>
    <x v="1"/>
    <x v="19"/>
    <x v="2"/>
    <x v="39"/>
    <n v="85945"/>
    <x v="6"/>
    <d v="2016-01-02T03:18:00"/>
    <d v="2016-01-02T00:00:00"/>
    <d v="2016-01-02T00:00:00"/>
    <x v="227"/>
    <x v="182"/>
    <n v="85945"/>
    <s v="null"/>
  </r>
  <r>
    <n v="793649"/>
    <s v="Sharri "/>
    <s v="Tatham"/>
    <s v="Sharri 162@gmail.com"/>
    <x v="1"/>
    <x v="3"/>
    <x v="3"/>
    <x v="6"/>
    <x v="56"/>
    <n v="793649"/>
    <x v="8"/>
    <d v="2016-03-30T09:28:00"/>
    <d v="2016-03-30T00:00:00"/>
    <d v="2016-03-30T00:00:00"/>
    <x v="228"/>
    <x v="183"/>
    <n v="793649"/>
    <s v="null"/>
  </r>
  <r>
    <n v="793649"/>
    <s v="Sharri "/>
    <s v="Tatham"/>
    <s v="Sharri 162@gmail.com"/>
    <x v="1"/>
    <x v="3"/>
    <x v="3"/>
    <x v="6"/>
    <x v="56"/>
    <n v="793649"/>
    <x v="15"/>
    <d v="2016-03-27T23:39:00"/>
    <d v="2016-03-27T00:00:00"/>
    <d v="2016-03-27T00:00:00"/>
    <x v="229"/>
    <x v="184"/>
    <n v="793649"/>
    <s v="null"/>
  </r>
  <r>
    <n v="793649"/>
    <s v="Sharri "/>
    <s v="Tatham"/>
    <s v="Sharri 162@gmail.com"/>
    <x v="1"/>
    <x v="3"/>
    <x v="3"/>
    <x v="6"/>
    <x v="56"/>
    <n v="793649"/>
    <x v="10"/>
    <d v="2016-03-29T17:54:00"/>
    <d v="2016-03-29T00:00:00"/>
    <d v="2016-03-29T00:00:00"/>
    <x v="230"/>
    <x v="185"/>
    <n v="793649"/>
    <s v="null"/>
  </r>
  <r>
    <n v="87234"/>
    <s v="None"/>
    <s v="None"/>
    <s v="Trudie 473@mail.com"/>
    <x v="0"/>
    <x v="0"/>
    <x v="0"/>
    <x v="0"/>
    <x v="0"/>
    <n v="87234"/>
    <x v="3"/>
    <d v="2016-01-15T09:44:00"/>
    <d v="2016-01-15T00:00:00"/>
    <d v="2016-01-15T00:00:00"/>
    <x v="231"/>
    <x v="20"/>
    <n v="87234"/>
    <s v="null"/>
  </r>
  <r>
    <n v="771872"/>
    <s v="Lane "/>
    <s v="Tatham"/>
    <s v="Lane 111@yahoo.com"/>
    <x v="2"/>
    <x v="4"/>
    <x v="17"/>
    <x v="4"/>
    <x v="57"/>
    <n v="771872"/>
    <x v="9"/>
    <d v="2016-02-07T16:10:00"/>
    <d v="2016-02-07T00:00:00"/>
    <d v="2016-02-07T00:00:00"/>
    <x v="175"/>
    <x v="186"/>
    <n v="771872"/>
    <s v="null"/>
  </r>
  <r>
    <n v="771872"/>
    <s v="Lane "/>
    <s v="Tatham"/>
    <s v="Lane 111@yahoo.com"/>
    <x v="2"/>
    <x v="4"/>
    <x v="17"/>
    <x v="4"/>
    <x v="57"/>
    <n v="771872"/>
    <x v="2"/>
    <d v="2016-01-31T16:20:00"/>
    <d v="2016-01-31T00:00:00"/>
    <d v="2016-01-31T00:00:00"/>
    <x v="232"/>
    <x v="187"/>
    <n v="771872"/>
    <s v="null"/>
  </r>
  <r>
    <n v="771872"/>
    <s v="Lane "/>
    <s v="Tatham"/>
    <s v="Lane 111@yahoo.com"/>
    <x v="2"/>
    <x v="4"/>
    <x v="17"/>
    <x v="4"/>
    <x v="57"/>
    <n v="771872"/>
    <x v="2"/>
    <d v="2016-01-31T19:32:00"/>
    <d v="2016-01-31T00:00:00"/>
    <d v="2016-01-31T00:00:00"/>
    <x v="233"/>
    <x v="188"/>
    <n v="771872"/>
    <s v="null"/>
  </r>
  <r>
    <n v="98046"/>
    <s v="Donald "/>
    <s v="Zweifel"/>
    <s v="Donald 223@mail.com"/>
    <x v="2"/>
    <x v="2"/>
    <x v="22"/>
    <x v="3"/>
    <x v="5"/>
    <n v="98046"/>
    <x v="10"/>
    <d v="2016-01-04T22:41:00"/>
    <d v="2016-01-04T00:00:00"/>
    <d v="2016-01-04T00:00:00"/>
    <x v="192"/>
    <x v="42"/>
    <n v="98046"/>
    <s v="null"/>
  </r>
  <r>
    <n v="98046"/>
    <s v="Donald "/>
    <s v="Zweifel"/>
    <s v="Donald 223@mail.com"/>
    <x v="2"/>
    <x v="2"/>
    <x v="22"/>
    <x v="3"/>
    <x v="5"/>
    <n v="98046"/>
    <x v="8"/>
    <d v="2016-01-07T22:15:00"/>
    <d v="2016-01-07T00:00:00"/>
    <d v="2016-01-07T00:00:00"/>
    <x v="10"/>
    <x v="189"/>
    <n v="98046"/>
    <s v="null"/>
  </r>
  <r>
    <n v="98046"/>
    <s v="Donald "/>
    <s v="Zweifel"/>
    <s v="Donald 223@mail.com"/>
    <x v="2"/>
    <x v="2"/>
    <x v="22"/>
    <x v="3"/>
    <x v="5"/>
    <n v="98046"/>
    <x v="3"/>
    <d v="2016-01-13T20:36:00"/>
    <d v="2016-01-13T00:00:00"/>
    <d v="2016-01-13T00:00:00"/>
    <x v="234"/>
    <x v="190"/>
    <n v="98046"/>
    <s v="null"/>
  </r>
  <r>
    <n v="100538"/>
    <s v="None"/>
    <s v="None"/>
    <s v="Epifania 75@mailxyz.com"/>
    <x v="0"/>
    <x v="0"/>
    <x v="0"/>
    <x v="0"/>
    <x v="0"/>
    <n v="100538"/>
    <x v="4"/>
    <d v="2016-03-24T16:25:00"/>
    <d v="2016-03-24T00:00:00"/>
    <d v="2016-03-24T00:00:00"/>
    <x v="235"/>
    <x v="191"/>
    <n v="100538"/>
    <s v="null"/>
  </r>
  <r>
    <n v="809000"/>
    <s v="Kip "/>
    <s v="Slane"/>
    <s v="Kip 142@gmail.com"/>
    <x v="2"/>
    <x v="2"/>
    <x v="23"/>
    <x v="2"/>
    <x v="13"/>
    <n v="809000"/>
    <x v="4"/>
    <d v="2016-02-19T09:18:00"/>
    <d v="2016-02-19T00:00:00"/>
    <d v="2016-02-19T00:00:00"/>
    <x v="236"/>
    <x v="110"/>
    <n v="809000"/>
    <s v="null"/>
  </r>
  <r>
    <n v="809000"/>
    <s v="Kip "/>
    <s v="Slane"/>
    <s v="Kip 142@gmail.com"/>
    <x v="2"/>
    <x v="2"/>
    <x v="23"/>
    <x v="2"/>
    <x v="13"/>
    <n v="809000"/>
    <x v="16"/>
    <d v="2016-01-03T22:34:00"/>
    <d v="2016-01-03T00:00:00"/>
    <d v="2016-01-03T00:00:00"/>
    <x v="237"/>
    <x v="192"/>
    <n v="809000"/>
    <s v="null"/>
  </r>
  <r>
    <n v="809000"/>
    <s v="Kip "/>
    <s v="Slane"/>
    <s v="Kip 142@gmail.com"/>
    <x v="2"/>
    <x v="2"/>
    <x v="23"/>
    <x v="2"/>
    <x v="13"/>
    <n v="809000"/>
    <x v="3"/>
    <d v="2016-01-05T07:06:00"/>
    <d v="2016-01-05T00:00:00"/>
    <d v="2016-01-05T00:00:00"/>
    <x v="238"/>
    <x v="20"/>
    <n v="809000"/>
    <s v="null"/>
  </r>
  <r>
    <n v="809000"/>
    <s v="Kip "/>
    <s v="Slane"/>
    <s v="Kip 142@gmail.com"/>
    <x v="2"/>
    <x v="2"/>
    <x v="23"/>
    <x v="2"/>
    <x v="13"/>
    <n v="809000"/>
    <x v="12"/>
    <d v="2016-03-04T09:17:00"/>
    <d v="2016-03-04T00:00:00"/>
    <d v="2016-03-04T00:00:00"/>
    <x v="239"/>
    <x v="193"/>
    <n v="809000"/>
    <s v="null"/>
  </r>
  <r>
    <n v="809000"/>
    <s v="Kip "/>
    <s v="Slane"/>
    <s v="Kip 142@gmail.com"/>
    <x v="2"/>
    <x v="2"/>
    <x v="23"/>
    <x v="2"/>
    <x v="13"/>
    <n v="809000"/>
    <x v="5"/>
    <d v="2016-03-12T22:20:00"/>
    <d v="2016-03-12T00:00:00"/>
    <d v="2016-03-12T00:00:00"/>
    <x v="12"/>
    <x v="194"/>
    <n v="809000"/>
    <s v="null"/>
  </r>
  <r>
    <n v="809000"/>
    <s v="Kip "/>
    <s v="Slane"/>
    <s v="Kip 142@gmail.com"/>
    <x v="2"/>
    <x v="2"/>
    <x v="23"/>
    <x v="2"/>
    <x v="13"/>
    <n v="809000"/>
    <x v="10"/>
    <d v="2016-03-10T04:28:00"/>
    <d v="2016-03-10T00:00:00"/>
    <d v="2016-03-10T00:00:00"/>
    <x v="240"/>
    <x v="195"/>
    <n v="809000"/>
    <s v="null"/>
  </r>
  <r>
    <n v="115518"/>
    <s v="Bret "/>
    <s v="Jacox"/>
    <s v="Bret 315@mailxyz.com"/>
    <x v="2"/>
    <x v="2"/>
    <x v="15"/>
    <x v="2"/>
    <x v="10"/>
    <n v="115518"/>
    <x v="9"/>
    <d v="2016-03-04T16:44:00"/>
    <d v="2016-03-04T00:00:00"/>
    <d v="2016-03-04T00:00:00"/>
    <x v="241"/>
    <x v="196"/>
    <n v="115518"/>
    <s v="null"/>
  </r>
  <r>
    <n v="115518"/>
    <s v="Bret "/>
    <s v="Jacox"/>
    <s v="Bret 315@mailxyz.com"/>
    <x v="2"/>
    <x v="2"/>
    <x v="15"/>
    <x v="2"/>
    <x v="10"/>
    <n v="115518"/>
    <x v="6"/>
    <d v="2016-03-05T19:41:00"/>
    <d v="2016-03-05T00:00:00"/>
    <d v="2016-03-05T00:00:00"/>
    <x v="242"/>
    <x v="19"/>
    <n v="115518"/>
    <s v="null"/>
  </r>
  <r>
    <n v="771876"/>
    <s v="Stacy "/>
    <s v="Gettys"/>
    <s v="Stacy 271@yahoo.com"/>
    <x v="2"/>
    <x v="2"/>
    <x v="17"/>
    <x v="9"/>
    <x v="8"/>
    <n v="771876"/>
    <x v="8"/>
    <d v="2016-01-31T13:28:00"/>
    <d v="2016-01-31T00:00:00"/>
    <d v="2016-01-31T00:00:00"/>
    <x v="216"/>
    <x v="197"/>
    <n v="771876"/>
    <s v="null"/>
  </r>
  <r>
    <n v="771876"/>
    <s v="Stacy "/>
    <s v="Gettys"/>
    <s v="Stacy 271@yahoo.com"/>
    <x v="2"/>
    <x v="2"/>
    <x v="17"/>
    <x v="9"/>
    <x v="8"/>
    <n v="771876"/>
    <x v="2"/>
    <d v="2016-02-07T19:54:00"/>
    <d v="2016-02-07T00:00:00"/>
    <d v="2016-02-07T00:00:00"/>
    <x v="223"/>
    <x v="198"/>
    <n v="771876"/>
    <s v="null"/>
  </r>
  <r>
    <n v="771876"/>
    <s v="Stacy "/>
    <s v="Gettys"/>
    <s v="Stacy 271@yahoo.com"/>
    <x v="2"/>
    <x v="2"/>
    <x v="17"/>
    <x v="9"/>
    <x v="8"/>
    <n v="771876"/>
    <x v="4"/>
    <d v="2016-01-29T14:37:00"/>
    <d v="2016-01-29T00:00:00"/>
    <d v="2016-01-29T00:00:00"/>
    <x v="243"/>
    <x v="10"/>
    <n v="771876"/>
    <s v="null"/>
  </r>
  <r>
    <n v="771876"/>
    <s v="Stacy "/>
    <s v="Gettys"/>
    <s v="Stacy 271@yahoo.com"/>
    <x v="2"/>
    <x v="2"/>
    <x v="17"/>
    <x v="9"/>
    <x v="8"/>
    <n v="771876"/>
    <x v="2"/>
    <d v="2016-01-31T15:03:00"/>
    <d v="2016-01-31T00:00:00"/>
    <d v="2016-01-31T00:00:00"/>
    <x v="244"/>
    <x v="10"/>
    <n v="771876"/>
    <s v="null"/>
  </r>
  <r>
    <n v="771876"/>
    <s v="Stacy "/>
    <s v="Gettys"/>
    <s v="Stacy 271@yahoo.com"/>
    <x v="2"/>
    <x v="2"/>
    <x v="17"/>
    <x v="9"/>
    <x v="8"/>
    <n v="771876"/>
    <x v="8"/>
    <d v="2016-02-06T08:14:00"/>
    <d v="2016-02-06T00:00:00"/>
    <d v="2016-02-06T00:00:00"/>
    <x v="245"/>
    <x v="199"/>
    <n v="771876"/>
    <s v="null"/>
  </r>
  <r>
    <n v="771876"/>
    <s v="Stacy "/>
    <s v="Gettys"/>
    <s v="Stacy 271@yahoo.com"/>
    <x v="2"/>
    <x v="2"/>
    <x v="17"/>
    <x v="9"/>
    <x v="8"/>
    <n v="771876"/>
    <x v="9"/>
    <d v="2016-02-06T16:08:00"/>
    <d v="2016-02-06T00:00:00"/>
    <d v="2016-02-06T00:00:00"/>
    <x v="246"/>
    <x v="200"/>
    <n v="771876"/>
    <s v="null"/>
  </r>
  <r>
    <n v="131449"/>
    <s v="None"/>
    <s v="None"/>
    <s v="Loris 354@abcmail.com"/>
    <x v="0"/>
    <x v="0"/>
    <x v="0"/>
    <x v="0"/>
    <x v="0"/>
    <n v="131449"/>
    <x v="12"/>
    <d v="2016-01-15T17:55:00"/>
    <d v="2016-01-15T00:00:00"/>
    <d v="2016-01-15T00:00:00"/>
    <x v="247"/>
    <x v="201"/>
    <n v="131449"/>
    <s v="null"/>
  </r>
  <r>
    <n v="771877"/>
    <s v="Emerson "/>
    <s v="Mina"/>
    <s v="Emerson 241@yahoo.com"/>
    <x v="2"/>
    <x v="2"/>
    <x v="17"/>
    <x v="7"/>
    <x v="39"/>
    <n v="771877"/>
    <x v="11"/>
    <d v="2016-01-29T21:43:00"/>
    <d v="2016-01-29T00:00:00"/>
    <d v="2016-01-29T00:00:00"/>
    <x v="248"/>
    <x v="202"/>
    <n v="771877"/>
    <s v="null"/>
  </r>
  <r>
    <n v="771877"/>
    <s v="Emerson "/>
    <s v="Mina"/>
    <s v="Emerson 241@yahoo.com"/>
    <x v="2"/>
    <x v="2"/>
    <x v="17"/>
    <x v="7"/>
    <x v="39"/>
    <n v="771877"/>
    <x v="1"/>
    <d v="2016-01-31T20:38:00"/>
    <d v="2016-01-31T00:00:00"/>
    <d v="2016-01-31T00:00:00"/>
    <x v="249"/>
    <x v="203"/>
    <n v="771877"/>
    <s v="null"/>
  </r>
  <r>
    <n v="809006"/>
    <s v="Len "/>
    <s v="Biggers"/>
    <s v="Len 443@mail.com"/>
    <x v="2"/>
    <x v="2"/>
    <x v="22"/>
    <x v="2"/>
    <x v="11"/>
    <n v="809006"/>
    <x v="4"/>
    <d v="2016-02-16T01:54:00"/>
    <d v="2016-02-16T00:00:00"/>
    <d v="2016-02-16T00:00:00"/>
    <x v="250"/>
    <x v="57"/>
    <n v="809006"/>
    <s v="null"/>
  </r>
  <r>
    <n v="809006"/>
    <s v="Len "/>
    <s v="Biggers"/>
    <s v="Len 443@mail.com"/>
    <x v="2"/>
    <x v="2"/>
    <x v="22"/>
    <x v="2"/>
    <x v="11"/>
    <n v="809006"/>
    <x v="8"/>
    <d v="2016-02-16T15:23:00"/>
    <d v="2016-02-16T00:00:00"/>
    <d v="2016-02-16T00:00:00"/>
    <x v="251"/>
    <x v="92"/>
    <n v="809006"/>
    <s v="null"/>
  </r>
  <r>
    <n v="601422"/>
    <s v="Seema "/>
    <s v="Fudge"/>
    <s v="Seema 462@gmail.com"/>
    <x v="1"/>
    <x v="3"/>
    <x v="21"/>
    <x v="4"/>
    <x v="58"/>
    <n v="601422"/>
    <x v="4"/>
    <d v="2016-01-09T17:41:00"/>
    <d v="2016-01-09T00:00:00"/>
    <d v="2016-01-09T00:00:00"/>
    <x v="252"/>
    <x v="204"/>
    <n v="601422"/>
    <s v="null"/>
  </r>
  <r>
    <n v="159026"/>
    <s v="Iva "/>
    <s v="Styer"/>
    <s v="Iva 213@mail.com"/>
    <x v="1"/>
    <x v="4"/>
    <x v="25"/>
    <x v="2"/>
    <x v="59"/>
    <n v="159026"/>
    <x v="4"/>
    <d v="2016-03-06T14:58:00"/>
    <d v="2016-03-06T00:00:00"/>
    <d v="2016-03-06T00:00:00"/>
    <x v="253"/>
    <x v="205"/>
    <n v="159026"/>
    <s v="null"/>
  </r>
  <r>
    <n v="159156"/>
    <s v="None"/>
    <s v="None"/>
    <s v="Zetta 73@mail.com"/>
    <x v="0"/>
    <x v="0"/>
    <x v="0"/>
    <x v="0"/>
    <x v="0"/>
    <n v="159156"/>
    <x v="9"/>
    <d v="2016-03-06T12:17:00"/>
    <d v="2016-03-06T00:00:00"/>
    <d v="2016-03-06T00:00:00"/>
    <x v="21"/>
    <x v="85"/>
    <n v="159156"/>
    <s v="null"/>
  </r>
  <r>
    <n v="162937"/>
    <s v="Brendan "/>
    <s v="Luthy"/>
    <s v="Brendan 454@abcmail.com"/>
    <x v="2"/>
    <x v="1"/>
    <x v="7"/>
    <x v="2"/>
    <x v="54"/>
    <n v="162937"/>
    <x v="6"/>
    <d v="2016-01-23T18:25:00"/>
    <d v="2016-01-23T00:00:00"/>
    <d v="2016-01-23T00:00:00"/>
    <x v="254"/>
    <x v="206"/>
    <n v="162937"/>
    <s v="null"/>
  </r>
  <r>
    <n v="163109"/>
    <s v="Haywood "/>
    <s v="Lavoie"/>
    <s v="Haywood 93@mail.com"/>
    <x v="2"/>
    <x v="0"/>
    <x v="3"/>
    <x v="4"/>
    <x v="60"/>
    <n v="163109"/>
    <x v="3"/>
    <d v="2016-03-31T13:41:00"/>
    <d v="2016-03-31T00:00:00"/>
    <d v="2016-03-31T00:00:00"/>
    <x v="255"/>
    <x v="207"/>
    <n v="163109"/>
    <s v="null"/>
  </r>
  <r>
    <n v="163109"/>
    <s v="Haywood "/>
    <s v="Lavoie"/>
    <s v="Haywood 93@mail.com"/>
    <x v="2"/>
    <x v="0"/>
    <x v="3"/>
    <x v="4"/>
    <x v="60"/>
    <n v="163109"/>
    <x v="9"/>
    <d v="2016-03-29T20:13:00"/>
    <d v="2016-03-29T00:00:00"/>
    <d v="2016-03-29T00:00:00"/>
    <x v="11"/>
    <x v="94"/>
    <n v="163109"/>
    <s v="null"/>
  </r>
  <r>
    <n v="793652"/>
    <s v="Len "/>
    <s v="Mccollum"/>
    <s v="Len 443@mail.com"/>
    <x v="2"/>
    <x v="2"/>
    <x v="13"/>
    <x v="1"/>
    <x v="11"/>
    <n v="793652"/>
    <x v="4"/>
    <d v="2016-03-24T10:50:00"/>
    <d v="2016-03-24T00:00:00"/>
    <d v="2016-03-24T00:00:00"/>
    <x v="256"/>
    <x v="184"/>
    <n v="793652"/>
    <s v="null"/>
  </r>
  <r>
    <n v="173765"/>
    <s v="None"/>
    <s v="None"/>
    <s v="Tiffani 292@gmail.com"/>
    <x v="0"/>
    <x v="0"/>
    <x v="0"/>
    <x v="0"/>
    <x v="0"/>
    <n v="173765"/>
    <x v="8"/>
    <d v="2016-01-08T09:29:00"/>
    <d v="2016-01-08T00:00:00"/>
    <d v="2016-01-08T00:00:00"/>
    <x v="257"/>
    <x v="52"/>
    <n v="173765"/>
    <s v="null"/>
  </r>
  <r>
    <n v="809008"/>
    <s v="Haywood "/>
    <s v="Pascarella"/>
    <s v="Haywood 94@abcmail.com"/>
    <x v="2"/>
    <x v="4"/>
    <x v="11"/>
    <x v="7"/>
    <x v="60"/>
    <n v="809008"/>
    <x v="3"/>
    <d v="2016-03-03T21:19:00"/>
    <d v="2016-03-03T00:00:00"/>
    <d v="2016-03-03T00:00:00"/>
    <x v="49"/>
    <x v="20"/>
    <n v="809008"/>
    <s v="null"/>
  </r>
  <r>
    <n v="809008"/>
    <s v="Haywood "/>
    <s v="Pascarella"/>
    <s v="Haywood 94@abcmail.com"/>
    <x v="2"/>
    <x v="4"/>
    <x v="11"/>
    <x v="7"/>
    <x v="60"/>
    <n v="809008"/>
    <x v="15"/>
    <d v="2016-03-03T20:38:00"/>
    <d v="2016-03-03T00:00:00"/>
    <d v="2016-03-03T00:00:00"/>
    <x v="249"/>
    <x v="85"/>
    <n v="809008"/>
    <s v="null"/>
  </r>
  <r>
    <n v="809008"/>
    <s v="Haywood "/>
    <s v="Pascarella"/>
    <s v="Haywood 94@abcmail.com"/>
    <x v="2"/>
    <x v="4"/>
    <x v="11"/>
    <x v="7"/>
    <x v="60"/>
    <n v="809008"/>
    <x v="10"/>
    <d v="2016-03-05T12:06:00"/>
    <d v="2016-03-05T00:00:00"/>
    <d v="2016-03-05T00:00:00"/>
    <x v="165"/>
    <x v="208"/>
    <n v="809008"/>
    <s v="null"/>
  </r>
  <r>
    <n v="809008"/>
    <s v="Haywood "/>
    <s v="Pascarella"/>
    <s v="Haywood 94@abcmail.com"/>
    <x v="2"/>
    <x v="4"/>
    <x v="11"/>
    <x v="7"/>
    <x v="60"/>
    <n v="809008"/>
    <x v="5"/>
    <d v="2016-03-05T15:47:00"/>
    <d v="2016-03-05T00:00:00"/>
    <d v="2016-03-05T00:00:00"/>
    <x v="6"/>
    <x v="209"/>
    <n v="809008"/>
    <s v="null"/>
  </r>
  <r>
    <n v="809008"/>
    <s v="Haywood "/>
    <s v="Pascarella"/>
    <s v="Haywood 94@abcmail.com"/>
    <x v="2"/>
    <x v="4"/>
    <x v="11"/>
    <x v="7"/>
    <x v="60"/>
    <n v="809008"/>
    <x v="9"/>
    <d v="2016-02-28T16:28:00"/>
    <d v="2016-02-28T00:00:00"/>
    <d v="2016-02-28T00:00:00"/>
    <x v="258"/>
    <x v="210"/>
    <n v="809008"/>
    <s v="null"/>
  </r>
  <r>
    <n v="809008"/>
    <s v="Haywood "/>
    <s v="Pascarella"/>
    <s v="Haywood 94@abcmail.com"/>
    <x v="2"/>
    <x v="4"/>
    <x v="11"/>
    <x v="7"/>
    <x v="60"/>
    <n v="809008"/>
    <x v="0"/>
    <d v="2016-03-09T14:11:00"/>
    <d v="2016-03-09T00:00:00"/>
    <d v="2016-03-09T00:00:00"/>
    <x v="259"/>
    <x v="138"/>
    <n v="809008"/>
    <s v="null"/>
  </r>
  <r>
    <n v="809008"/>
    <s v="Haywood "/>
    <s v="Pascarella"/>
    <s v="Haywood 94@abcmail.com"/>
    <x v="2"/>
    <x v="4"/>
    <x v="11"/>
    <x v="7"/>
    <x v="60"/>
    <n v="809008"/>
    <x v="5"/>
    <d v="2016-03-01T21:15:00"/>
    <d v="2016-03-01T00:00:00"/>
    <d v="2016-03-01T00:00:00"/>
    <x v="260"/>
    <x v="211"/>
    <n v="809008"/>
    <s v="null"/>
  </r>
  <r>
    <n v="178022"/>
    <s v="Len "/>
    <s v="Mina"/>
    <s v="Len 443@mail.com"/>
    <x v="2"/>
    <x v="1"/>
    <x v="37"/>
    <x v="5"/>
    <x v="11"/>
    <n v="178022"/>
    <x v="0"/>
    <d v="2016-03-29T14:51:00"/>
    <d v="2016-03-29T00:00:00"/>
    <d v="2016-03-29T00:00:00"/>
    <x v="24"/>
    <x v="212"/>
    <n v="178022"/>
    <s v="null"/>
  </r>
  <r>
    <n v="771881"/>
    <s v="Emerson "/>
    <s v="Reisinger"/>
    <s v="Emerson 245@mailxyz.com"/>
    <x v="2"/>
    <x v="2"/>
    <x v="22"/>
    <x v="2"/>
    <x v="39"/>
    <n v="771881"/>
    <x v="2"/>
    <d v="2016-03-22T09:26:00"/>
    <d v="2016-03-22T00:00:00"/>
    <d v="2016-03-22T00:00:00"/>
    <x v="261"/>
    <x v="85"/>
    <n v="771881"/>
    <s v="null"/>
  </r>
  <r>
    <n v="771881"/>
    <s v="Emerson "/>
    <s v="Reisinger"/>
    <s v="Emerson 245@mailxyz.com"/>
    <x v="2"/>
    <x v="2"/>
    <x v="22"/>
    <x v="2"/>
    <x v="39"/>
    <n v="771881"/>
    <x v="10"/>
    <d v="2016-01-18T15:54:00"/>
    <d v="2016-01-18T00:00:00"/>
    <d v="2016-01-18T00:00:00"/>
    <x v="170"/>
    <x v="213"/>
    <n v="771881"/>
    <s v="null"/>
  </r>
  <r>
    <n v="771881"/>
    <s v="Emerson "/>
    <s v="Reisinger"/>
    <s v="Emerson 245@mailxyz.com"/>
    <x v="2"/>
    <x v="2"/>
    <x v="22"/>
    <x v="2"/>
    <x v="39"/>
    <n v="771881"/>
    <x v="10"/>
    <d v="2016-01-20T19:07:00"/>
    <d v="2016-01-20T00:00:00"/>
    <d v="2016-01-20T00:00:00"/>
    <x v="262"/>
    <x v="214"/>
    <n v="771881"/>
    <s v="null"/>
  </r>
  <r>
    <n v="771881"/>
    <s v="Emerson "/>
    <s v="Reisinger"/>
    <s v="Emerson 245@mailxyz.com"/>
    <x v="2"/>
    <x v="2"/>
    <x v="22"/>
    <x v="2"/>
    <x v="39"/>
    <n v="771881"/>
    <x v="4"/>
    <d v="2016-03-20T17:52:00"/>
    <d v="2016-03-20T00:00:00"/>
    <d v="2016-03-20T00:00:00"/>
    <x v="263"/>
    <x v="115"/>
    <n v="771881"/>
    <s v="null"/>
  </r>
  <r>
    <n v="190586"/>
    <s v="None"/>
    <s v="None"/>
    <s v="Lesli 111@yahoo.com"/>
    <x v="0"/>
    <x v="0"/>
    <x v="0"/>
    <x v="0"/>
    <x v="0"/>
    <n v="190586"/>
    <x v="2"/>
    <d v="2016-01-17T19:07:00"/>
    <d v="2016-01-17T00:00:00"/>
    <d v="2016-01-17T00:00:00"/>
    <x v="262"/>
    <x v="215"/>
    <n v="190586"/>
    <s v="null"/>
  </r>
  <r>
    <n v="771882"/>
    <s v="Emerson "/>
    <s v="Pascarella"/>
    <s v="Emerson 244@abcmail.com"/>
    <x v="2"/>
    <x v="2"/>
    <x v="30"/>
    <x v="2"/>
    <x v="39"/>
    <n v="771882"/>
    <x v="9"/>
    <d v="2016-01-25T18:43:00"/>
    <d v="2016-01-25T00:00:00"/>
    <d v="2016-01-25T00:00:00"/>
    <x v="264"/>
    <x v="137"/>
    <n v="771882"/>
    <s v="null"/>
  </r>
  <r>
    <n v="771882"/>
    <s v="Emerson "/>
    <s v="Pascarella"/>
    <s v="Emerson 244@abcmail.com"/>
    <x v="2"/>
    <x v="2"/>
    <x v="30"/>
    <x v="2"/>
    <x v="39"/>
    <n v="771882"/>
    <x v="10"/>
    <d v="2016-01-20T12:37:00"/>
    <d v="2016-01-20T00:00:00"/>
    <d v="2016-01-20T00:00:00"/>
    <x v="53"/>
    <x v="216"/>
    <n v="771882"/>
    <s v="null"/>
  </r>
  <r>
    <n v="771882"/>
    <s v="Emerson "/>
    <s v="Pascarella"/>
    <s v="Emerson 244@abcmail.com"/>
    <x v="2"/>
    <x v="2"/>
    <x v="30"/>
    <x v="2"/>
    <x v="39"/>
    <n v="771882"/>
    <x v="9"/>
    <d v="2016-02-18T01:09:00"/>
    <d v="2016-02-18T00:00:00"/>
    <d v="2016-02-18T00:00:00"/>
    <x v="265"/>
    <x v="7"/>
    <n v="771882"/>
    <s v="null"/>
  </r>
  <r>
    <n v="206207"/>
    <s v="Markus "/>
    <s v="Sieren"/>
    <s v="Markus 191@yahoo.com"/>
    <x v="2"/>
    <x v="5"/>
    <x v="30"/>
    <x v="2"/>
    <x v="61"/>
    <n v="206207"/>
    <x v="6"/>
    <d v="2016-03-30T15:18:00"/>
    <d v="2016-03-30T00:00:00"/>
    <d v="2016-03-30T00:00:00"/>
    <x v="266"/>
    <x v="37"/>
    <n v="206207"/>
    <s v="null"/>
  </r>
  <r>
    <n v="809010"/>
    <s v="Efren "/>
    <s v="Sytsma"/>
    <s v="Efren 134@abcmail.com"/>
    <x v="2"/>
    <x v="4"/>
    <x v="22"/>
    <x v="2"/>
    <x v="53"/>
    <n v="809010"/>
    <x v="9"/>
    <d v="2016-02-14T11:36:00"/>
    <d v="2016-02-14T00:00:00"/>
    <d v="2016-02-14T00:00:00"/>
    <x v="104"/>
    <x v="217"/>
    <n v="809010"/>
    <s v="null"/>
  </r>
  <r>
    <n v="809010"/>
    <s v="Efren "/>
    <s v="Sytsma"/>
    <s v="Efren 134@abcmail.com"/>
    <x v="2"/>
    <x v="4"/>
    <x v="22"/>
    <x v="2"/>
    <x v="53"/>
    <n v="809010"/>
    <x v="9"/>
    <d v="2016-02-16T16:34:00"/>
    <d v="2016-02-16T00:00:00"/>
    <d v="2016-02-16T00:00:00"/>
    <x v="267"/>
    <x v="218"/>
    <n v="809010"/>
    <s v="null"/>
  </r>
  <r>
    <n v="809010"/>
    <s v="Efren "/>
    <s v="Sytsma"/>
    <s v="Efren 134@abcmail.com"/>
    <x v="2"/>
    <x v="4"/>
    <x v="22"/>
    <x v="2"/>
    <x v="53"/>
    <n v="809010"/>
    <x v="8"/>
    <d v="2016-02-16T11:44:00"/>
    <d v="2016-02-16T00:00:00"/>
    <d v="2016-02-16T00:00:00"/>
    <x v="268"/>
    <x v="34"/>
    <n v="809010"/>
    <s v="null"/>
  </r>
  <r>
    <n v="211993"/>
    <s v="None"/>
    <s v="None"/>
    <s v="Gretta 195@mailxyz.com"/>
    <x v="0"/>
    <x v="0"/>
    <x v="0"/>
    <x v="0"/>
    <x v="0"/>
    <n v="211993"/>
    <x v="12"/>
    <d v="2016-02-24T08:08:00"/>
    <d v="2016-02-24T00:00:00"/>
    <d v="2016-02-24T00:00:00"/>
    <x v="269"/>
    <x v="108"/>
    <n v="211993"/>
    <s v="null"/>
  </r>
  <r>
    <n v="764396"/>
    <s v="Hyman "/>
    <s v="Pilot"/>
    <s v="Hyman 82@gmail.com"/>
    <x v="2"/>
    <x v="1"/>
    <x v="38"/>
    <x v="1"/>
    <x v="62"/>
    <n v="764396"/>
    <x v="4"/>
    <d v="2016-01-24T21:41:00"/>
    <d v="2016-01-24T00:00:00"/>
    <d v="2016-01-24T00:00:00"/>
    <x v="270"/>
    <x v="197"/>
    <n v="764396"/>
    <s v="null"/>
  </r>
  <r>
    <n v="764396"/>
    <s v="Hyman "/>
    <s v="Pilot"/>
    <s v="Hyman 82@gmail.com"/>
    <x v="2"/>
    <x v="1"/>
    <x v="38"/>
    <x v="1"/>
    <x v="62"/>
    <n v="764396"/>
    <x v="12"/>
    <d v="2016-01-25T10:39:00"/>
    <d v="2016-01-25T00:00:00"/>
    <d v="2016-01-25T00:00:00"/>
    <x v="271"/>
    <x v="219"/>
    <n v="764396"/>
    <s v="null"/>
  </r>
  <r>
    <n v="764396"/>
    <s v="Hyman "/>
    <s v="Pilot"/>
    <s v="Hyman 82@gmail.com"/>
    <x v="2"/>
    <x v="1"/>
    <x v="38"/>
    <x v="1"/>
    <x v="62"/>
    <n v="764396"/>
    <x v="2"/>
    <d v="2016-01-08T05:51:00"/>
    <d v="2016-01-08T00:00:00"/>
    <d v="2016-01-08T00:00:00"/>
    <x v="272"/>
    <x v="220"/>
    <n v="764396"/>
    <s v="null"/>
  </r>
  <r>
    <n v="764396"/>
    <s v="Hyman "/>
    <s v="Pilot"/>
    <s v="Hyman 82@gmail.com"/>
    <x v="2"/>
    <x v="1"/>
    <x v="38"/>
    <x v="1"/>
    <x v="62"/>
    <n v="764396"/>
    <x v="9"/>
    <d v="2016-01-22T05:48:00"/>
    <d v="2016-01-22T00:00:00"/>
    <d v="2016-01-22T00:00:00"/>
    <x v="273"/>
    <x v="94"/>
    <n v="764396"/>
    <s v="null"/>
  </r>
  <r>
    <n v="764396"/>
    <s v="Hyman "/>
    <s v="Pilot"/>
    <s v="Hyman 82@gmail.com"/>
    <x v="2"/>
    <x v="1"/>
    <x v="38"/>
    <x v="1"/>
    <x v="62"/>
    <n v="764396"/>
    <x v="9"/>
    <d v="2016-01-18T07:37:00"/>
    <d v="2016-01-18T00:00:00"/>
    <d v="2016-01-18T00:00:00"/>
    <x v="274"/>
    <x v="70"/>
    <n v="764396"/>
    <s v="null"/>
  </r>
  <r>
    <n v="809011"/>
    <s v="Raymundo "/>
    <s v="Pilot"/>
    <s v="Raymundo 433@mail.com"/>
    <x v="2"/>
    <x v="4"/>
    <x v="39"/>
    <x v="4"/>
    <x v="18"/>
    <n v="809011"/>
    <x v="4"/>
    <d v="2016-02-20T07:28:00"/>
    <d v="2016-02-20T00:00:00"/>
    <d v="2016-02-20T00:00:00"/>
    <x v="275"/>
    <x v="115"/>
    <n v="809011"/>
    <s v="null"/>
  </r>
  <r>
    <n v="809011"/>
    <s v="Raymundo "/>
    <s v="Pilot"/>
    <s v="Raymundo 433@mail.com"/>
    <x v="2"/>
    <x v="4"/>
    <x v="39"/>
    <x v="4"/>
    <x v="18"/>
    <n v="809011"/>
    <x v="5"/>
    <d v="2016-02-20T16:30:00"/>
    <d v="2016-02-20T00:00:00"/>
    <d v="2016-02-20T00:00:00"/>
    <x v="276"/>
    <x v="10"/>
    <n v="809011"/>
    <s v="null"/>
  </r>
  <r>
    <n v="809011"/>
    <s v="Raymundo "/>
    <s v="Pilot"/>
    <s v="Raymundo 433@mail.com"/>
    <x v="2"/>
    <x v="4"/>
    <x v="39"/>
    <x v="4"/>
    <x v="18"/>
    <n v="809011"/>
    <x v="5"/>
    <d v="2016-02-21T20:34:00"/>
    <d v="2016-02-21T00:00:00"/>
    <d v="2016-02-21T00:00:00"/>
    <x v="277"/>
    <x v="94"/>
    <n v="809011"/>
    <s v="null"/>
  </r>
  <r>
    <n v="809011"/>
    <s v="Raymundo "/>
    <s v="Pilot"/>
    <s v="Raymundo 433@mail.com"/>
    <x v="2"/>
    <x v="4"/>
    <x v="39"/>
    <x v="4"/>
    <x v="18"/>
    <n v="809011"/>
    <x v="4"/>
    <d v="2016-02-19T15:27:00"/>
    <d v="2016-02-19T00:00:00"/>
    <d v="2016-02-19T00:00:00"/>
    <x v="278"/>
    <x v="221"/>
    <n v="809011"/>
    <s v="null"/>
  </r>
  <r>
    <n v="809011"/>
    <s v="Raymundo "/>
    <s v="Pilot"/>
    <s v="Raymundo 433@mail.com"/>
    <x v="2"/>
    <x v="4"/>
    <x v="39"/>
    <x v="4"/>
    <x v="18"/>
    <n v="809011"/>
    <x v="0"/>
    <d v="2016-02-25T12:31:00"/>
    <d v="2016-02-25T00:00:00"/>
    <d v="2016-02-25T00:00:00"/>
    <x v="279"/>
    <x v="222"/>
    <n v="809011"/>
    <s v="null"/>
  </r>
  <r>
    <n v="809011"/>
    <s v="Raymundo "/>
    <s v="Pilot"/>
    <s v="Raymundo 433@mail.com"/>
    <x v="2"/>
    <x v="4"/>
    <x v="39"/>
    <x v="4"/>
    <x v="18"/>
    <n v="809011"/>
    <x v="4"/>
    <d v="2016-02-25T09:54:00"/>
    <d v="2016-02-25T00:00:00"/>
    <d v="2016-02-25T00:00:00"/>
    <x v="280"/>
    <x v="223"/>
    <n v="809011"/>
    <s v="null"/>
  </r>
  <r>
    <n v="809011"/>
    <s v="Raymundo "/>
    <s v="Pilot"/>
    <s v="Raymundo 433@mail.com"/>
    <x v="2"/>
    <x v="4"/>
    <x v="39"/>
    <x v="4"/>
    <x v="18"/>
    <n v="809011"/>
    <x v="13"/>
    <d v="2016-02-27T12:18:00"/>
    <d v="2016-02-27T00:00:00"/>
    <d v="2016-02-27T00:00:00"/>
    <x v="281"/>
    <x v="94"/>
    <n v="809011"/>
    <s v="null"/>
  </r>
  <r>
    <n v="264705"/>
    <s v="Dia "/>
    <s v="Arrieta"/>
    <s v="Dia 334@abcmail.com"/>
    <x v="1"/>
    <x v="2"/>
    <x v="4"/>
    <x v="5"/>
    <x v="63"/>
    <n v="264705"/>
    <x v="10"/>
    <d v="2016-03-28T21:32:00"/>
    <d v="2016-03-28T00:00:00"/>
    <d v="2016-03-28T00:00:00"/>
    <x v="282"/>
    <x v="224"/>
    <n v="264705"/>
    <s v="null"/>
  </r>
  <r>
    <n v="803575"/>
    <s v="Donald "/>
    <s v="Mina"/>
    <s v="Donald 222@gmail.com"/>
    <x v="2"/>
    <x v="5"/>
    <x v="30"/>
    <x v="1"/>
    <x v="5"/>
    <n v="803575"/>
    <x v="4"/>
    <d v="2016-02-19T11:08:00"/>
    <d v="2016-02-19T00:00:00"/>
    <d v="2016-02-19T00:00:00"/>
    <x v="283"/>
    <x v="115"/>
    <n v="803575"/>
    <s v="null"/>
  </r>
  <r>
    <n v="803575"/>
    <s v="Donald "/>
    <s v="Mina"/>
    <s v="Donald 222@gmail.com"/>
    <x v="2"/>
    <x v="5"/>
    <x v="30"/>
    <x v="1"/>
    <x v="5"/>
    <n v="803575"/>
    <x v="4"/>
    <d v="2016-01-31T11:46:00"/>
    <d v="2016-01-31T00:00:00"/>
    <d v="2016-01-31T00:00:00"/>
    <x v="284"/>
    <x v="225"/>
    <n v="803575"/>
    <s v="null"/>
  </r>
  <r>
    <n v="803575"/>
    <s v="Donald "/>
    <s v="Mina"/>
    <s v="Donald 222@gmail.com"/>
    <x v="2"/>
    <x v="5"/>
    <x v="30"/>
    <x v="1"/>
    <x v="5"/>
    <n v="803575"/>
    <x v="4"/>
    <d v="2016-01-23T12:34:00"/>
    <d v="2016-01-23T00:00:00"/>
    <d v="2016-01-23T00:00:00"/>
    <x v="285"/>
    <x v="226"/>
    <n v="803575"/>
    <s v="null"/>
  </r>
  <r>
    <n v="809015"/>
    <s v="Minerva "/>
    <s v="Marek"/>
    <s v="Minerva 372@gmail.com"/>
    <x v="1"/>
    <x v="4"/>
    <x v="22"/>
    <x v="1"/>
    <x v="64"/>
    <n v="809015"/>
    <x v="2"/>
    <d v="2016-02-20T06:16:00"/>
    <d v="2016-02-20T00:00:00"/>
    <d v="2016-02-20T00:00:00"/>
    <x v="286"/>
    <x v="188"/>
    <n v="809015"/>
    <s v="null"/>
  </r>
  <r>
    <n v="809015"/>
    <s v="Minerva "/>
    <s v="Marek"/>
    <s v="Minerva 372@gmail.com"/>
    <x v="1"/>
    <x v="4"/>
    <x v="22"/>
    <x v="1"/>
    <x v="64"/>
    <n v="809015"/>
    <x v="3"/>
    <d v="2016-02-19T06:30:00"/>
    <d v="2016-02-19T00:00:00"/>
    <d v="2016-02-19T00:00:00"/>
    <x v="287"/>
    <x v="227"/>
    <n v="809015"/>
    <s v="null"/>
  </r>
  <r>
    <n v="809015"/>
    <s v="Minerva "/>
    <s v="Marek"/>
    <s v="Minerva 372@gmail.com"/>
    <x v="1"/>
    <x v="4"/>
    <x v="22"/>
    <x v="1"/>
    <x v="64"/>
    <n v="809015"/>
    <x v="9"/>
    <d v="2016-02-05T08:49:00"/>
    <d v="2016-02-05T00:00:00"/>
    <d v="2016-02-05T00:00:00"/>
    <x v="288"/>
    <x v="27"/>
    <n v="809015"/>
    <s v="null"/>
  </r>
  <r>
    <n v="809015"/>
    <s v="Minerva "/>
    <s v="Marek"/>
    <s v="Minerva 372@gmail.com"/>
    <x v="1"/>
    <x v="4"/>
    <x v="22"/>
    <x v="1"/>
    <x v="64"/>
    <n v="809015"/>
    <x v="3"/>
    <d v="2016-02-19T06:30:00"/>
    <d v="2016-02-19T00:00:00"/>
    <d v="2016-02-19T00:00:00"/>
    <x v="287"/>
    <x v="227"/>
    <n v="809015"/>
    <s v="null"/>
  </r>
  <r>
    <n v="809015"/>
    <s v="Minerva "/>
    <s v="Marek"/>
    <s v="Minerva 372@gmail.com"/>
    <x v="1"/>
    <x v="4"/>
    <x v="22"/>
    <x v="1"/>
    <x v="64"/>
    <n v="809015"/>
    <x v="3"/>
    <d v="2016-02-24T10:37:00"/>
    <d v="2016-02-24T00:00:00"/>
    <d v="2016-02-24T00:00:00"/>
    <x v="289"/>
    <x v="92"/>
    <n v="809015"/>
    <s v="null"/>
  </r>
  <r>
    <n v="809015"/>
    <s v="Minerva "/>
    <s v="Marek"/>
    <s v="Minerva 372@gmail.com"/>
    <x v="1"/>
    <x v="4"/>
    <x v="22"/>
    <x v="1"/>
    <x v="64"/>
    <n v="809015"/>
    <x v="9"/>
    <d v="2016-01-30T18:54:00"/>
    <d v="2016-01-30T00:00:00"/>
    <d v="2016-01-30T00:00:00"/>
    <x v="290"/>
    <x v="38"/>
    <n v="809015"/>
    <s v="null"/>
  </r>
  <r>
    <n v="809015"/>
    <s v="Minerva "/>
    <s v="Marek"/>
    <s v="Minerva 372@gmail.com"/>
    <x v="1"/>
    <x v="4"/>
    <x v="22"/>
    <x v="1"/>
    <x v="64"/>
    <n v="809015"/>
    <x v="9"/>
    <d v="2016-01-29T21:48:00"/>
    <d v="2016-01-29T00:00:00"/>
    <d v="2016-01-29T00:00:00"/>
    <x v="291"/>
    <x v="37"/>
    <n v="809015"/>
    <s v="null"/>
  </r>
  <r>
    <n v="809015"/>
    <s v="Minerva "/>
    <s v="Marek"/>
    <s v="Minerva 372@gmail.com"/>
    <x v="1"/>
    <x v="4"/>
    <x v="22"/>
    <x v="1"/>
    <x v="64"/>
    <n v="809015"/>
    <x v="5"/>
    <d v="2016-01-28T18:26:00"/>
    <d v="2016-01-28T00:00:00"/>
    <d v="2016-01-28T00:00:00"/>
    <x v="292"/>
    <x v="228"/>
    <n v="809015"/>
    <s v="null"/>
  </r>
  <r>
    <n v="809015"/>
    <s v="Minerva "/>
    <s v="Marek"/>
    <s v="Minerva 372@gmail.com"/>
    <x v="1"/>
    <x v="4"/>
    <x v="22"/>
    <x v="1"/>
    <x v="64"/>
    <n v="809015"/>
    <x v="3"/>
    <d v="2016-02-06T13:34:00"/>
    <d v="2016-02-06T00:00:00"/>
    <d v="2016-02-06T00:00:00"/>
    <x v="293"/>
    <x v="27"/>
    <n v="809015"/>
    <s v="null"/>
  </r>
  <r>
    <n v="809015"/>
    <s v="Minerva "/>
    <s v="Marek"/>
    <s v="Minerva 372@gmail.com"/>
    <x v="1"/>
    <x v="4"/>
    <x v="22"/>
    <x v="1"/>
    <x v="64"/>
    <n v="809015"/>
    <x v="9"/>
    <d v="2016-02-23T18:55:00"/>
    <d v="2016-02-23T00:00:00"/>
    <d v="2016-02-23T00:00:00"/>
    <x v="294"/>
    <x v="229"/>
    <n v="809015"/>
    <s v="null"/>
  </r>
  <r>
    <n v="304977"/>
    <s v="Desirae "/>
    <s v="Luthy"/>
    <s v="Desirae 455@mailxyz.com"/>
    <x v="1"/>
    <x v="2"/>
    <x v="33"/>
    <x v="8"/>
    <x v="65"/>
    <n v="304977"/>
    <x v="8"/>
    <d v="2016-01-06T05:41:00"/>
    <d v="2016-01-06T00:00:00"/>
    <d v="2016-01-06T00:00:00"/>
    <x v="295"/>
    <x v="94"/>
    <n v="304977"/>
    <s v="null"/>
  </r>
  <r>
    <n v="325546"/>
    <s v="Cody "/>
    <s v="Slane"/>
    <s v="Cody 124@abcmail.com"/>
    <x v="2"/>
    <x v="2"/>
    <x v="2"/>
    <x v="5"/>
    <x v="66"/>
    <n v="325546"/>
    <x v="10"/>
    <d v="2016-01-13T21:22:00"/>
    <d v="2016-01-13T00:00:00"/>
    <d v="2016-01-13T00:00:00"/>
    <x v="296"/>
    <x v="230"/>
    <n v="325546"/>
    <s v="null"/>
  </r>
  <r>
    <n v="325546"/>
    <s v="Cody "/>
    <s v="Slane"/>
    <s v="Cody 124@abcmail.com"/>
    <x v="2"/>
    <x v="2"/>
    <x v="2"/>
    <x v="5"/>
    <x v="66"/>
    <n v="325546"/>
    <x v="1"/>
    <d v="2016-01-06T22:03:00"/>
    <d v="2016-01-06T00:00:00"/>
    <d v="2016-01-06T00:00:00"/>
    <x v="297"/>
    <x v="229"/>
    <n v="325546"/>
    <s v="null"/>
  </r>
  <r>
    <n v="366496"/>
    <s v="Alissa "/>
    <s v="Woolard"/>
    <s v="Alissa 143@mail.com"/>
    <x v="1"/>
    <x v="2"/>
    <x v="25"/>
    <x v="2"/>
    <x v="67"/>
    <n v="366496"/>
    <x v="8"/>
    <d v="2016-01-02T17:11:00"/>
    <d v="2016-01-02T00:00:00"/>
    <d v="2016-01-02T00:00:00"/>
    <x v="298"/>
    <x v="231"/>
    <n v="366496"/>
    <s v="null"/>
  </r>
  <r>
    <n v="788725"/>
    <s v="Jacinto "/>
    <s v="Reisinger"/>
    <s v="Jacinto 252@gmail.com"/>
    <x v="2"/>
    <x v="2"/>
    <x v="13"/>
    <x v="8"/>
    <x v="19"/>
    <n v="788725"/>
    <x v="3"/>
    <d v="2016-02-15T19:17:00"/>
    <d v="2016-02-15T00:00:00"/>
    <d v="2016-02-15T00:00:00"/>
    <x v="299"/>
    <x v="50"/>
    <n v="788725"/>
    <s v="null"/>
  </r>
  <r>
    <n v="788725"/>
    <s v="Jacinto "/>
    <s v="Reisinger"/>
    <s v="Jacinto 252@gmail.com"/>
    <x v="2"/>
    <x v="2"/>
    <x v="13"/>
    <x v="8"/>
    <x v="19"/>
    <n v="788725"/>
    <x v="10"/>
    <d v="2016-02-19T21:41:00"/>
    <d v="2016-02-19T00:00:00"/>
    <d v="2016-02-19T00:00:00"/>
    <x v="270"/>
    <x v="213"/>
    <n v="788725"/>
    <s v="null"/>
  </r>
  <r>
    <n v="788725"/>
    <s v="Jacinto "/>
    <s v="Reisinger"/>
    <s v="Jacinto 252@gmail.com"/>
    <x v="2"/>
    <x v="2"/>
    <x v="13"/>
    <x v="8"/>
    <x v="19"/>
    <n v="788725"/>
    <x v="8"/>
    <d v="2016-02-12T15:38:00"/>
    <d v="2016-02-12T00:00:00"/>
    <d v="2016-02-12T00:00:00"/>
    <x v="300"/>
    <x v="10"/>
    <n v="788725"/>
    <s v="null"/>
  </r>
  <r>
    <n v="370637"/>
    <s v="Valentine "/>
    <s v="Martello"/>
    <s v="Valentine 472@gmail.com"/>
    <x v="2"/>
    <x v="4"/>
    <x v="6"/>
    <x v="4"/>
    <x v="30"/>
    <n v="370637"/>
    <x v="4"/>
    <d v="2016-01-18T15:58:00"/>
    <d v="2016-01-18T00:00:00"/>
    <d v="2016-01-18T00:00:00"/>
    <x v="71"/>
    <x v="232"/>
    <n v="370637"/>
    <s v="null"/>
  </r>
  <r>
    <n v="371772"/>
    <s v="Nubia "/>
    <s v="Sytsma"/>
    <s v="Nubia 45@mailxyz.com"/>
    <x v="1"/>
    <x v="5"/>
    <x v="1"/>
    <x v="1"/>
    <x v="68"/>
    <n v="371772"/>
    <x v="2"/>
    <d v="2016-01-02T14:47:00"/>
    <d v="2016-01-02T00:00:00"/>
    <d v="2016-01-02T00:00:00"/>
    <x v="301"/>
    <x v="233"/>
    <n v="371772"/>
    <s v="null"/>
  </r>
  <r>
    <n v="371772"/>
    <s v="Nubia "/>
    <s v="Sytsma"/>
    <s v="Nubia 45@mailxyz.com"/>
    <x v="1"/>
    <x v="5"/>
    <x v="1"/>
    <x v="1"/>
    <x v="68"/>
    <n v="371772"/>
    <x v="3"/>
    <d v="2016-01-09T17:38:00"/>
    <d v="2016-01-09T00:00:00"/>
    <d v="2016-01-09T00:00:00"/>
    <x v="302"/>
    <x v="10"/>
    <n v="371772"/>
    <s v="null"/>
  </r>
  <r>
    <n v="809018"/>
    <s v="Lucas "/>
    <s v="Borelli"/>
    <s v="Lucas 234@abcmail.com"/>
    <x v="2"/>
    <x v="2"/>
    <x v="22"/>
    <x v="3"/>
    <x v="32"/>
    <n v="809018"/>
    <x v="9"/>
    <d v="2016-02-18T00:03:00"/>
    <d v="2016-02-18T00:00:00"/>
    <d v="2016-02-18T00:00:00"/>
    <x v="303"/>
    <x v="234"/>
    <n v="809018"/>
    <s v="null"/>
  </r>
  <r>
    <n v="788727"/>
    <s v="Stefan "/>
    <s v="Bilyeu"/>
    <s v="Stefan 463@mail.com"/>
    <x v="2"/>
    <x v="4"/>
    <x v="40"/>
    <x v="4"/>
    <x v="26"/>
    <n v="788727"/>
    <x v="5"/>
    <d v="2016-01-05T21:31:00"/>
    <d v="2016-01-05T00:00:00"/>
    <d v="2016-01-05T00:00:00"/>
    <x v="304"/>
    <x v="235"/>
    <n v="788727"/>
    <s v="null"/>
  </r>
  <r>
    <n v="788727"/>
    <s v="Stefan "/>
    <s v="Bilyeu"/>
    <s v="Stefan 463@mail.com"/>
    <x v="2"/>
    <x v="4"/>
    <x v="40"/>
    <x v="4"/>
    <x v="26"/>
    <n v="788727"/>
    <x v="9"/>
    <d v="2016-01-10T19:51:00"/>
    <d v="2016-01-10T00:00:00"/>
    <d v="2016-01-10T00:00:00"/>
    <x v="305"/>
    <x v="236"/>
    <n v="788727"/>
    <s v="null"/>
  </r>
  <r>
    <n v="788727"/>
    <s v="Stefan "/>
    <s v="Bilyeu"/>
    <s v="Stefan 463@mail.com"/>
    <x v="2"/>
    <x v="4"/>
    <x v="40"/>
    <x v="4"/>
    <x v="26"/>
    <n v="788727"/>
    <x v="4"/>
    <d v="2016-01-14T12:03:00"/>
    <d v="2016-01-14T00:00:00"/>
    <d v="2016-01-14T00:00:00"/>
    <x v="306"/>
    <x v="160"/>
    <n v="788727"/>
    <s v="null"/>
  </r>
  <r>
    <n v="788727"/>
    <s v="Stefan "/>
    <s v="Bilyeu"/>
    <s v="Stefan 463@mail.com"/>
    <x v="2"/>
    <x v="4"/>
    <x v="40"/>
    <x v="4"/>
    <x v="26"/>
    <n v="788727"/>
    <x v="4"/>
    <d v="2016-01-23T12:07:00"/>
    <d v="2016-01-23T00:00:00"/>
    <d v="2016-01-23T00:00:00"/>
    <x v="307"/>
    <x v="10"/>
    <n v="788727"/>
    <s v="null"/>
  </r>
  <r>
    <n v="390361"/>
    <s v="Minerva "/>
    <s v="Marek"/>
    <s v="Minerva 205@mailxyz.com"/>
    <x v="1"/>
    <x v="4"/>
    <x v="7"/>
    <x v="2"/>
    <x v="69"/>
    <n v="390361"/>
    <x v="3"/>
    <d v="2016-02-18T02:36:00"/>
    <d v="2016-02-18T00:00:00"/>
    <d v="2016-02-18T00:00:00"/>
    <x v="308"/>
    <x v="57"/>
    <n v="390361"/>
    <s v="null"/>
  </r>
  <r>
    <n v="771888"/>
    <s v="Donald "/>
    <s v="Curran"/>
    <s v="Donald 223@mail.com"/>
    <x v="2"/>
    <x v="4"/>
    <x v="40"/>
    <x v="1"/>
    <x v="5"/>
    <n v="771888"/>
    <x v="3"/>
    <d v="2016-02-25T18:11:00"/>
    <d v="2016-02-25T00:00:00"/>
    <d v="2016-02-25T00:00:00"/>
    <x v="85"/>
    <x v="237"/>
    <n v="771888"/>
    <s v="null"/>
  </r>
  <r>
    <n v="788728"/>
    <s v="Dion "/>
    <s v="Paradis"/>
    <s v="Dion 333@mail.com"/>
    <x v="2"/>
    <x v="2"/>
    <x v="12"/>
    <x v="2"/>
    <x v="70"/>
    <n v="788728"/>
    <x v="0"/>
    <d v="2016-03-15T10:58:00"/>
    <d v="2016-03-15T00:00:00"/>
    <d v="2016-03-15T00:00:00"/>
    <x v="309"/>
    <x v="70"/>
    <n v="788728"/>
    <s v="null"/>
  </r>
  <r>
    <n v="411036"/>
    <s v="Eula "/>
    <s v="Mccown"/>
    <s v="Eula 395@mailxyz.com"/>
    <x v="1"/>
    <x v="1"/>
    <x v="30"/>
    <x v="4"/>
    <x v="71"/>
    <n v="411036"/>
    <x v="4"/>
    <d v="2016-01-06T14:09:00"/>
    <d v="2016-01-06T00:00:00"/>
    <d v="2016-01-06T00:00:00"/>
    <x v="310"/>
    <x v="113"/>
    <n v="411036"/>
    <s v="null"/>
  </r>
  <r>
    <n v="779471"/>
    <s v="Stefan "/>
    <s v="Biggers"/>
    <s v="Stefan 464@abcmail.com"/>
    <x v="2"/>
    <x v="2"/>
    <x v="11"/>
    <x v="1"/>
    <x v="26"/>
    <n v="779471"/>
    <x v="2"/>
    <d v="2016-02-10T08:38:00"/>
    <d v="2016-02-10T00:00:00"/>
    <d v="2016-02-10T00:00:00"/>
    <x v="22"/>
    <x v="238"/>
    <n v="779471"/>
    <s v="null"/>
  </r>
  <r>
    <n v="809021"/>
    <s v="Bret "/>
    <s v="Tatham"/>
    <s v="Bret 313@mail.com"/>
    <x v="2"/>
    <x v="2"/>
    <x v="40"/>
    <x v="2"/>
    <x v="10"/>
    <n v="809021"/>
    <x v="4"/>
    <d v="2016-02-19T23:28:00"/>
    <d v="2016-02-19T00:00:00"/>
    <d v="2016-02-19T00:00:00"/>
    <x v="311"/>
    <x v="198"/>
    <n v="809021"/>
    <s v="null"/>
  </r>
  <r>
    <n v="422095"/>
    <s v="None"/>
    <s v="None"/>
    <s v="Briana 302@gmail.com"/>
    <x v="0"/>
    <x v="0"/>
    <x v="0"/>
    <x v="0"/>
    <x v="0"/>
    <n v="422095"/>
    <x v="0"/>
    <d v="2016-03-30T16:24:00"/>
    <d v="2016-03-30T00:00:00"/>
    <d v="2016-03-30T00:00:00"/>
    <x v="312"/>
    <x v="12"/>
    <n v="422095"/>
    <s v="null"/>
  </r>
  <r>
    <n v="771889"/>
    <s v="Lane "/>
    <s v="Borelli"/>
    <s v="Lane 115@mailxyz.com"/>
    <x v="2"/>
    <x v="2"/>
    <x v="31"/>
    <x v="1"/>
    <x v="57"/>
    <n v="771889"/>
    <x v="10"/>
    <d v="2016-01-27T17:43:00"/>
    <d v="2016-01-27T00:00:00"/>
    <d v="2016-01-27T00:00:00"/>
    <x v="313"/>
    <x v="239"/>
    <n v="771889"/>
    <s v="null"/>
  </r>
  <r>
    <n v="771889"/>
    <s v="Lane "/>
    <s v="Borelli"/>
    <s v="Lane 115@mailxyz.com"/>
    <x v="2"/>
    <x v="2"/>
    <x v="31"/>
    <x v="1"/>
    <x v="57"/>
    <n v="771889"/>
    <x v="10"/>
    <d v="2016-01-21T16:52:00"/>
    <d v="2016-01-21T00:00:00"/>
    <d v="2016-01-21T00:00:00"/>
    <x v="183"/>
    <x v="240"/>
    <n v="771889"/>
    <s v="null"/>
  </r>
  <r>
    <n v="432435"/>
    <s v="Cory "/>
    <s v="Woolard"/>
    <s v="Cory 101@yahoo.com"/>
    <x v="2"/>
    <x v="2"/>
    <x v="41"/>
    <x v="3"/>
    <x v="4"/>
    <n v="432435"/>
    <x v="4"/>
    <d v="2016-01-05T22:18:00"/>
    <d v="2016-01-05T00:00:00"/>
    <d v="2016-01-05T00:00:00"/>
    <x v="171"/>
    <x v="241"/>
    <n v="432435"/>
    <s v="null"/>
  </r>
  <r>
    <n v="793662"/>
    <s v="Stefan "/>
    <s v="Reisinger"/>
    <s v="Stefan 465@mailxyz.com"/>
    <x v="2"/>
    <x v="4"/>
    <x v="2"/>
    <x v="4"/>
    <x v="26"/>
    <n v="793662"/>
    <x v="6"/>
    <d v="2016-01-31T12:54:00"/>
    <d v="2016-01-31T00:00:00"/>
    <d v="2016-01-31T00:00:00"/>
    <x v="314"/>
    <x v="242"/>
    <n v="793662"/>
    <s v="null"/>
  </r>
  <r>
    <n v="793662"/>
    <s v="Stefan "/>
    <s v="Reisinger"/>
    <s v="Stefan 465@mailxyz.com"/>
    <x v="2"/>
    <x v="4"/>
    <x v="2"/>
    <x v="4"/>
    <x v="26"/>
    <n v="793662"/>
    <x v="3"/>
    <d v="2016-01-29T17:31:00"/>
    <d v="2016-01-29T00:00:00"/>
    <d v="2016-01-29T00:00:00"/>
    <x v="315"/>
    <x v="93"/>
    <n v="793662"/>
    <s v="null"/>
  </r>
  <r>
    <n v="793662"/>
    <s v="Stefan "/>
    <s v="Reisinger"/>
    <s v="Stefan 465@mailxyz.com"/>
    <x v="2"/>
    <x v="4"/>
    <x v="2"/>
    <x v="4"/>
    <x v="26"/>
    <n v="793662"/>
    <x v="8"/>
    <d v="2016-03-31T22:49:00"/>
    <d v="2016-03-31T00:00:00"/>
    <d v="2016-03-31T00:00:00"/>
    <x v="316"/>
    <x v="243"/>
    <n v="793662"/>
    <s v="null"/>
  </r>
  <r>
    <n v="474745"/>
    <s v="Garry "/>
    <s v="Shkreli"/>
    <s v="Garry 284@abcmail.com"/>
    <x v="2"/>
    <x v="2"/>
    <x v="25"/>
    <x v="6"/>
    <x v="2"/>
    <n v="474745"/>
    <x v="3"/>
    <d v="2016-01-21T13:33:00"/>
    <d v="2016-01-21T00:00:00"/>
    <d v="2016-01-21T00:00:00"/>
    <x v="224"/>
    <x v="244"/>
    <n v="474745"/>
    <s v="null"/>
  </r>
  <r>
    <n v="474745"/>
    <s v="Garry "/>
    <s v="Shkreli"/>
    <s v="Garry 284@abcmail.com"/>
    <x v="2"/>
    <x v="2"/>
    <x v="25"/>
    <x v="6"/>
    <x v="2"/>
    <n v="474745"/>
    <x v="3"/>
    <d v="2016-01-20T15:44:00"/>
    <d v="2016-01-20T00:00:00"/>
    <d v="2016-01-20T00:00:00"/>
    <x v="317"/>
    <x v="245"/>
    <n v="474745"/>
    <s v="null"/>
  </r>
  <r>
    <n v="480591"/>
    <s v="None"/>
    <s v="None"/>
    <s v="Briana 271@yahoo.com"/>
    <x v="0"/>
    <x v="0"/>
    <x v="0"/>
    <x v="0"/>
    <x v="0"/>
    <n v="480591"/>
    <x v="4"/>
    <d v="2016-03-26T07:17:00"/>
    <d v="2016-03-26T00:00:00"/>
    <d v="2016-03-26T00:00:00"/>
    <x v="318"/>
    <x v="246"/>
    <n v="480591"/>
    <s v="null"/>
  </r>
  <r>
    <n v="488096"/>
    <s v="Stacy "/>
    <s v="Paradis"/>
    <s v="Stacy 273@mail.com"/>
    <x v="2"/>
    <x v="2"/>
    <x v="42"/>
    <x v="2"/>
    <x v="8"/>
    <n v="488096"/>
    <x v="3"/>
    <d v="2016-01-24T14:16:00"/>
    <d v="2016-01-24T00:00:00"/>
    <d v="2016-01-24T00:00:00"/>
    <x v="319"/>
    <x v="247"/>
    <n v="488096"/>
    <s v="null"/>
  </r>
  <r>
    <n v="492897"/>
    <s v="Samuel "/>
    <s v="Sytsma"/>
    <s v="Samuel 265@mailxyz.com"/>
    <x v="2"/>
    <x v="4"/>
    <x v="8"/>
    <x v="5"/>
    <x v="72"/>
    <n v="492897"/>
    <x v="3"/>
    <d v="2016-01-20T16:11:00"/>
    <d v="2016-01-20T00:00:00"/>
    <d v="2016-01-20T00:00:00"/>
    <x v="92"/>
    <x v="248"/>
    <n v="492897"/>
    <s v="null"/>
  </r>
  <r>
    <n v="492897"/>
    <s v="Samuel "/>
    <s v="Sytsma"/>
    <s v="Samuel 265@mailxyz.com"/>
    <x v="2"/>
    <x v="4"/>
    <x v="8"/>
    <x v="5"/>
    <x v="72"/>
    <n v="492897"/>
    <x v="8"/>
    <d v="2016-01-19T01:01:00"/>
    <d v="2016-01-19T00:00:00"/>
    <d v="2016-01-19T00:00:00"/>
    <x v="320"/>
    <x v="175"/>
    <n v="492897"/>
    <s v="null"/>
  </r>
  <r>
    <n v="809028"/>
    <s v="Loyd "/>
    <s v="Mina"/>
    <s v="Loyd 495@mailxyz.com"/>
    <x v="2"/>
    <x v="1"/>
    <x v="13"/>
    <x v="3"/>
    <x v="24"/>
    <n v="809028"/>
    <x v="7"/>
    <d v="2016-02-14T05:14:00"/>
    <d v="2016-02-14T00:00:00"/>
    <d v="2016-02-14T00:00:00"/>
    <x v="321"/>
    <x v="113"/>
    <n v="809028"/>
    <s v="null"/>
  </r>
  <r>
    <n v="809028"/>
    <s v="Loyd "/>
    <s v="Mina"/>
    <s v="Loyd 495@mailxyz.com"/>
    <x v="2"/>
    <x v="1"/>
    <x v="13"/>
    <x v="3"/>
    <x v="24"/>
    <n v="809028"/>
    <x v="4"/>
    <d v="2016-02-18T11:20:00"/>
    <d v="2016-02-18T00:00:00"/>
    <d v="2016-02-18T00:00:00"/>
    <x v="322"/>
    <x v="10"/>
    <n v="809028"/>
    <s v="null"/>
  </r>
  <r>
    <n v="521247"/>
    <s v="Hollis "/>
    <s v="Marek"/>
    <s v="Hollis 384@abcmail.com"/>
    <x v="2"/>
    <x v="2"/>
    <x v="3"/>
    <x v="5"/>
    <x v="29"/>
    <n v="521247"/>
    <x v="10"/>
    <d v="2016-01-03T22:51:00"/>
    <d v="2016-01-03T00:00:00"/>
    <d v="2016-01-03T00:00:00"/>
    <x v="323"/>
    <x v="249"/>
    <n v="521247"/>
    <s v="null"/>
  </r>
  <r>
    <n v="521247"/>
    <s v="Hollis "/>
    <s v="Marek"/>
    <s v="Hollis 384@abcmail.com"/>
    <x v="2"/>
    <x v="2"/>
    <x v="3"/>
    <x v="5"/>
    <x v="29"/>
    <n v="521247"/>
    <x v="3"/>
    <d v="2016-01-08T14:25:00"/>
    <d v="2016-01-08T00:00:00"/>
    <d v="2016-01-08T00:00:00"/>
    <x v="324"/>
    <x v="250"/>
    <n v="521247"/>
    <s v="null"/>
  </r>
  <r>
    <n v="530321"/>
    <s v="Tiffani "/>
    <s v="Pilot"/>
    <s v="Tiffani 383@mail.com"/>
    <x v="1"/>
    <x v="2"/>
    <x v="36"/>
    <x v="6"/>
    <x v="73"/>
    <n v="530321"/>
    <x v="5"/>
    <d v="2016-01-26T08:47:00"/>
    <d v="2016-01-26T00:00:00"/>
    <d v="2016-01-26T00:00:00"/>
    <x v="325"/>
    <x v="57"/>
    <n v="530321"/>
    <s v="null"/>
  </r>
  <r>
    <n v="530495"/>
    <s v="Nubia "/>
    <s v="Sytsma"/>
    <s v="Nubia 405@mailxyz.com"/>
    <x v="1"/>
    <x v="2"/>
    <x v="19"/>
    <x v="2"/>
    <x v="74"/>
    <n v="530495"/>
    <x v="1"/>
    <d v="2016-01-09T19:20:00"/>
    <d v="2016-01-09T00:00:00"/>
    <d v="2016-01-09T00:00:00"/>
    <x v="326"/>
    <x v="215"/>
    <n v="530495"/>
    <s v="null"/>
  </r>
  <r>
    <n v="531053"/>
    <s v="Hollis "/>
    <s v="Marek"/>
    <s v="Hollis 385@mailxyz.com"/>
    <x v="2"/>
    <x v="4"/>
    <x v="25"/>
    <x v="4"/>
    <x v="29"/>
    <n v="531053"/>
    <x v="9"/>
    <d v="2016-01-11T09:09:00"/>
    <d v="2016-01-11T00:00:00"/>
    <d v="2016-01-11T00:00:00"/>
    <x v="327"/>
    <x v="251"/>
    <n v="531053"/>
    <s v="null"/>
  </r>
  <r>
    <n v="808003"/>
    <s v="Romeo "/>
    <s v="Langenfeld"/>
    <s v="Romeo 375@mailxyz.com"/>
    <x v="2"/>
    <x v="1"/>
    <x v="43"/>
    <x v="2"/>
    <x v="45"/>
    <n v="808003"/>
    <x v="3"/>
    <d v="2016-02-28T10:25:00"/>
    <d v="2016-02-28T00:00:00"/>
    <d v="2016-02-28T00:00:00"/>
    <x v="328"/>
    <x v="154"/>
    <n v="808003"/>
    <s v="null"/>
  </r>
  <r>
    <n v="536151"/>
    <s v="Lillian "/>
    <s v="Borelli"/>
    <s v="Lillian 233@mail.com"/>
    <x v="1"/>
    <x v="1"/>
    <x v="34"/>
    <x v="4"/>
    <x v="75"/>
    <n v="536151"/>
    <x v="9"/>
    <d v="2016-01-11T16:15:00"/>
    <d v="2016-01-11T00:00:00"/>
    <d v="2016-01-11T00:00:00"/>
    <x v="329"/>
    <x v="193"/>
    <n v="536151"/>
    <s v="null"/>
  </r>
  <r>
    <n v="793670"/>
    <s v="Kip "/>
    <s v="Holt"/>
    <s v="Kip 144@abcmail.com"/>
    <x v="2"/>
    <x v="4"/>
    <x v="10"/>
    <x v="4"/>
    <x v="13"/>
    <n v="793670"/>
    <x v="9"/>
    <d v="2016-01-17T21:43:00"/>
    <d v="2016-01-17T00:00:00"/>
    <d v="2016-01-17T00:00:00"/>
    <x v="248"/>
    <x v="252"/>
    <n v="793670"/>
    <s v="null"/>
  </r>
  <r>
    <n v="793670"/>
    <s v="Kip "/>
    <s v="Holt"/>
    <s v="Kip 144@abcmail.com"/>
    <x v="2"/>
    <x v="4"/>
    <x v="10"/>
    <x v="4"/>
    <x v="13"/>
    <n v="793670"/>
    <x v="5"/>
    <d v="2016-01-29T18:37:00"/>
    <d v="2016-01-29T00:00:00"/>
    <d v="2016-01-29T00:00:00"/>
    <x v="330"/>
    <x v="253"/>
    <n v="793670"/>
    <s v="null"/>
  </r>
  <r>
    <n v="793670"/>
    <s v="Kip "/>
    <s v="Holt"/>
    <s v="Kip 144@abcmail.com"/>
    <x v="2"/>
    <x v="4"/>
    <x v="10"/>
    <x v="4"/>
    <x v="13"/>
    <n v="793670"/>
    <x v="12"/>
    <d v="2016-01-18T17:16:00"/>
    <d v="2016-01-18T00:00:00"/>
    <d v="2016-01-18T00:00:00"/>
    <x v="331"/>
    <x v="42"/>
    <n v="793670"/>
    <s v="null"/>
  </r>
  <r>
    <n v="793670"/>
    <s v="Kip "/>
    <s v="Holt"/>
    <s v="Kip 144@abcmail.com"/>
    <x v="2"/>
    <x v="4"/>
    <x v="10"/>
    <x v="4"/>
    <x v="13"/>
    <n v="793670"/>
    <x v="2"/>
    <d v="2016-01-15T13:02:00"/>
    <d v="2016-01-15T00:00:00"/>
    <d v="2016-01-15T00:00:00"/>
    <x v="332"/>
    <x v="254"/>
    <n v="793670"/>
    <s v="null"/>
  </r>
  <r>
    <n v="549032"/>
    <s v="Stephen "/>
    <s v="Borelli"/>
    <s v="Stephen 155@mailxyz.com"/>
    <x v="2"/>
    <x v="2"/>
    <x v="34"/>
    <x v="2"/>
    <x v="48"/>
    <n v="549032"/>
    <x v="5"/>
    <d v="2016-01-12T22:32:00"/>
    <d v="2016-01-12T00:00:00"/>
    <d v="2016-01-12T00:00:00"/>
    <x v="333"/>
    <x v="255"/>
    <n v="549032"/>
    <s v="null"/>
  </r>
  <r>
    <n v="549032"/>
    <s v="Stephen "/>
    <s v="Borelli"/>
    <s v="Stephen 155@mailxyz.com"/>
    <x v="2"/>
    <x v="2"/>
    <x v="34"/>
    <x v="2"/>
    <x v="48"/>
    <n v="549032"/>
    <x v="2"/>
    <d v="2016-01-12T23:33:00"/>
    <d v="2016-01-12T00:00:00"/>
    <d v="2016-01-12T00:00:00"/>
    <x v="61"/>
    <x v="256"/>
    <n v="549032"/>
    <s v="null"/>
  </r>
  <r>
    <n v="552589"/>
    <s v="Markus "/>
    <s v="Curran"/>
    <s v="Markus 195@mailxyz.com"/>
    <x v="2"/>
    <x v="0"/>
    <x v="13"/>
    <x v="2"/>
    <x v="61"/>
    <n v="552589"/>
    <x v="9"/>
    <d v="2016-01-16T07:33:00"/>
    <d v="2016-01-16T00:00:00"/>
    <d v="2016-01-16T00:00:00"/>
    <x v="334"/>
    <x v="75"/>
    <n v="552589"/>
    <s v="null"/>
  </r>
  <r>
    <n v="809034"/>
    <s v="Robby "/>
    <s v="Beville"/>
    <s v="Robby 162@gmail.com"/>
    <x v="2"/>
    <x v="2"/>
    <x v="44"/>
    <x v="2"/>
    <x v="27"/>
    <n v="809034"/>
    <x v="0"/>
    <d v="2016-03-03T07:39:00"/>
    <d v="2016-03-03T00:00:00"/>
    <d v="2016-03-03T00:00:00"/>
    <x v="335"/>
    <x v="257"/>
    <n v="809034"/>
    <s v="null"/>
  </r>
  <r>
    <n v="809034"/>
    <s v="Robby "/>
    <s v="Beville"/>
    <s v="Robby 162@gmail.com"/>
    <x v="2"/>
    <x v="2"/>
    <x v="44"/>
    <x v="2"/>
    <x v="27"/>
    <n v="809034"/>
    <x v="3"/>
    <d v="2016-03-01T06:22:00"/>
    <d v="2016-03-01T00:00:00"/>
    <d v="2016-03-01T00:00:00"/>
    <x v="336"/>
    <x v="258"/>
    <n v="809034"/>
    <s v="null"/>
  </r>
  <r>
    <n v="793672"/>
    <s v="Anette "/>
    <s v="Leicht"/>
    <s v="Anette 244@abcmail.com"/>
    <x v="1"/>
    <x v="2"/>
    <x v="22"/>
    <x v="3"/>
    <x v="76"/>
    <n v="793672"/>
    <x v="10"/>
    <d v="2016-01-21T18:30:00"/>
    <d v="2016-01-21T00:00:00"/>
    <d v="2016-01-21T00:00:00"/>
    <x v="126"/>
    <x v="259"/>
    <n v="793672"/>
    <s v="null"/>
  </r>
  <r>
    <n v="576231"/>
    <s v="Emerson "/>
    <s v="Paradis"/>
    <s v="Emerson 243@mail.com"/>
    <x v="2"/>
    <x v="2"/>
    <x v="43"/>
    <x v="3"/>
    <x v="39"/>
    <n v="576231"/>
    <x v="8"/>
    <d v="2016-01-03T23:24:00"/>
    <d v="2016-01-03T00:00:00"/>
    <d v="2016-01-03T00:00:00"/>
    <x v="337"/>
    <x v="102"/>
    <n v="576231"/>
    <s v="null"/>
  </r>
  <r>
    <n v="576231"/>
    <s v="Emerson "/>
    <s v="Paradis"/>
    <s v="Emerson 243@mail.com"/>
    <x v="2"/>
    <x v="2"/>
    <x v="43"/>
    <x v="3"/>
    <x v="39"/>
    <n v="576231"/>
    <x v="8"/>
    <d v="2016-01-03T23:27:00"/>
    <d v="2016-01-03T00:00:00"/>
    <d v="2016-01-03T00:00:00"/>
    <x v="338"/>
    <x v="16"/>
    <n v="576231"/>
    <s v="null"/>
  </r>
  <r>
    <n v="809035"/>
    <s v="Irving "/>
    <s v="Tatham"/>
    <s v="Irving 53@mail.com"/>
    <x v="2"/>
    <x v="5"/>
    <x v="34"/>
    <x v="2"/>
    <x v="77"/>
    <n v="809035"/>
    <x v="0"/>
    <d v="2016-02-22T18:43:00"/>
    <d v="2016-02-22T00:00:00"/>
    <d v="2016-02-22T00:00:00"/>
    <x v="264"/>
    <x v="65"/>
    <n v="809035"/>
    <s v="null"/>
  </r>
  <r>
    <n v="809035"/>
    <s v="Irving "/>
    <s v="Tatham"/>
    <s v="Irving 53@mail.com"/>
    <x v="2"/>
    <x v="5"/>
    <x v="34"/>
    <x v="2"/>
    <x v="77"/>
    <n v="809035"/>
    <x v="4"/>
    <d v="2016-01-08T05:47:00"/>
    <d v="2016-01-08T00:00:00"/>
    <d v="2016-01-08T00:00:00"/>
    <x v="339"/>
    <x v="260"/>
    <n v="809035"/>
    <s v="null"/>
  </r>
  <r>
    <n v="809035"/>
    <s v="Irving "/>
    <s v="Tatham"/>
    <s v="Irving 53@mail.com"/>
    <x v="2"/>
    <x v="5"/>
    <x v="34"/>
    <x v="2"/>
    <x v="77"/>
    <n v="809035"/>
    <x v="5"/>
    <d v="2016-01-29T21:46:00"/>
    <d v="2016-01-29T00:00:00"/>
    <d v="2016-01-29T00:00:00"/>
    <x v="107"/>
    <x v="64"/>
    <n v="809035"/>
    <s v="null"/>
  </r>
  <r>
    <n v="809035"/>
    <s v="Irving "/>
    <s v="Tatham"/>
    <s v="Irving 53@mail.com"/>
    <x v="2"/>
    <x v="5"/>
    <x v="34"/>
    <x v="2"/>
    <x v="77"/>
    <n v="809035"/>
    <x v="0"/>
    <d v="2016-03-03T06:41:00"/>
    <d v="2016-03-03T00:00:00"/>
    <d v="2016-03-03T00:00:00"/>
    <x v="340"/>
    <x v="261"/>
    <n v="809035"/>
    <s v="null"/>
  </r>
  <r>
    <n v="597268"/>
    <s v="Michel "/>
    <s v="Deblois"/>
    <s v="Michel 204@abcmail.com"/>
    <x v="2"/>
    <x v="2"/>
    <x v="11"/>
    <x v="1"/>
    <x v="34"/>
    <n v="597268"/>
    <x v="8"/>
    <d v="2016-01-06T08:28:00"/>
    <d v="2016-01-06T00:00:00"/>
    <d v="2016-01-06T00:00:00"/>
    <x v="341"/>
    <x v="262"/>
    <n v="597268"/>
    <s v="null"/>
  </r>
  <r>
    <n v="597268"/>
    <s v="Michel "/>
    <s v="Deblois"/>
    <s v="Michel 204@abcmail.com"/>
    <x v="2"/>
    <x v="2"/>
    <x v="11"/>
    <x v="1"/>
    <x v="34"/>
    <n v="597268"/>
    <x v="5"/>
    <d v="2016-01-08T14:44:00"/>
    <d v="2016-01-08T00:00:00"/>
    <d v="2016-01-08T00:00:00"/>
    <x v="342"/>
    <x v="8"/>
    <n v="597268"/>
    <s v="null"/>
  </r>
  <r>
    <n v="597268"/>
    <s v="Michel "/>
    <s v="Deblois"/>
    <s v="Michel 204@abcmail.com"/>
    <x v="2"/>
    <x v="2"/>
    <x v="11"/>
    <x v="1"/>
    <x v="34"/>
    <n v="597268"/>
    <x v="3"/>
    <d v="2016-01-06T10:33:00"/>
    <d v="2016-01-06T00:00:00"/>
    <d v="2016-01-06T00:00:00"/>
    <x v="38"/>
    <x v="66"/>
    <n v="597268"/>
    <s v="null"/>
  </r>
  <r>
    <n v="597268"/>
    <s v="Michel "/>
    <s v="Deblois"/>
    <s v="Michel 204@abcmail.com"/>
    <x v="2"/>
    <x v="2"/>
    <x v="11"/>
    <x v="1"/>
    <x v="34"/>
    <n v="597268"/>
    <x v="3"/>
    <d v="2016-01-08T14:46:00"/>
    <d v="2016-01-08T00:00:00"/>
    <d v="2016-01-08T00:00:00"/>
    <x v="343"/>
    <x v="244"/>
    <n v="597268"/>
    <s v="null"/>
  </r>
  <r>
    <n v="597268"/>
    <s v="Michel "/>
    <s v="Deblois"/>
    <s v="Michel 204@abcmail.com"/>
    <x v="2"/>
    <x v="2"/>
    <x v="11"/>
    <x v="1"/>
    <x v="34"/>
    <n v="597268"/>
    <x v="13"/>
    <d v="2016-01-08T20:59:00"/>
    <d v="2016-01-08T00:00:00"/>
    <d v="2016-01-08T00:00:00"/>
    <x v="344"/>
    <x v="263"/>
    <n v="597268"/>
    <s v="null"/>
  </r>
  <r>
    <n v="597268"/>
    <s v="Michel "/>
    <s v="Deblois"/>
    <s v="Michel 204@abcmail.com"/>
    <x v="2"/>
    <x v="2"/>
    <x v="11"/>
    <x v="1"/>
    <x v="34"/>
    <n v="597268"/>
    <x v="3"/>
    <d v="2016-01-10T17:02:00"/>
    <d v="2016-01-10T00:00:00"/>
    <d v="2016-01-10T00:00:00"/>
    <x v="345"/>
    <x v="264"/>
    <n v="597268"/>
    <s v="null"/>
  </r>
  <r>
    <n v="597268"/>
    <s v="Michel "/>
    <s v="Deblois"/>
    <s v="Michel 204@abcmail.com"/>
    <x v="2"/>
    <x v="2"/>
    <x v="11"/>
    <x v="1"/>
    <x v="34"/>
    <n v="597268"/>
    <x v="8"/>
    <d v="2016-01-05T22:13:00"/>
    <d v="2016-01-05T00:00:00"/>
    <d v="2016-01-05T00:00:00"/>
    <x v="346"/>
    <x v="265"/>
    <n v="597268"/>
    <s v="null"/>
  </r>
  <r>
    <n v="597268"/>
    <s v="Michel "/>
    <s v="Deblois"/>
    <s v="Michel 204@abcmail.com"/>
    <x v="2"/>
    <x v="2"/>
    <x v="11"/>
    <x v="1"/>
    <x v="34"/>
    <n v="597268"/>
    <x v="4"/>
    <d v="2016-01-08T09:26:00"/>
    <d v="2016-01-08T00:00:00"/>
    <d v="2016-01-08T00:00:00"/>
    <x v="261"/>
    <x v="8"/>
    <n v="597268"/>
    <s v="null"/>
  </r>
  <r>
    <n v="585562"/>
    <s v="Lesli "/>
    <s v="Martello"/>
    <s v="Lesli 205@mailxyz.com"/>
    <x v="1"/>
    <x v="0"/>
    <x v="29"/>
    <x v="7"/>
    <x v="78"/>
    <n v="585562"/>
    <x v="6"/>
    <d v="2016-01-04T22:04:00"/>
    <d v="2016-01-04T00:00:00"/>
    <d v="2016-01-04T00:00:00"/>
    <x v="347"/>
    <x v="10"/>
    <n v="585562"/>
    <s v="null"/>
  </r>
  <r>
    <n v="585562"/>
    <s v="Lesli "/>
    <s v="Martello"/>
    <s v="Lesli 205@mailxyz.com"/>
    <x v="1"/>
    <x v="0"/>
    <x v="29"/>
    <x v="7"/>
    <x v="78"/>
    <n v="585562"/>
    <x v="9"/>
    <d v="2016-01-04T17:40:00"/>
    <d v="2016-01-04T00:00:00"/>
    <d v="2016-01-04T00:00:00"/>
    <x v="348"/>
    <x v="266"/>
    <n v="585562"/>
    <s v="null"/>
  </r>
  <r>
    <n v="585831"/>
    <s v="Lillian "/>
    <s v="Borelli"/>
    <s v="Lillian 221@yahoo.com"/>
    <x v="1"/>
    <x v="1"/>
    <x v="36"/>
    <x v="2"/>
    <x v="79"/>
    <n v="585831"/>
    <x v="2"/>
    <d v="2016-01-02T11:43:00"/>
    <d v="2016-01-02T00:00:00"/>
    <d v="2016-01-02T00:00:00"/>
    <x v="349"/>
    <x v="267"/>
    <n v="585831"/>
    <s v="null"/>
  </r>
  <r>
    <n v="788744"/>
    <s v="Abel "/>
    <s v="Jacox"/>
    <s v="Abel 183@mail.com"/>
    <x v="2"/>
    <x v="4"/>
    <x v="8"/>
    <x v="4"/>
    <x v="80"/>
    <n v="788744"/>
    <x v="5"/>
    <d v="2016-01-15T01:09:00"/>
    <d v="2016-01-15T00:00:00"/>
    <d v="2016-01-15T00:00:00"/>
    <x v="265"/>
    <x v="268"/>
    <n v="788744"/>
    <s v="null"/>
  </r>
  <r>
    <n v="788744"/>
    <s v="Abel "/>
    <s v="Jacox"/>
    <s v="Abel 183@mail.com"/>
    <x v="2"/>
    <x v="4"/>
    <x v="8"/>
    <x v="4"/>
    <x v="80"/>
    <n v="788744"/>
    <x v="4"/>
    <d v="2016-01-18T11:35:00"/>
    <d v="2016-01-18T00:00:00"/>
    <d v="2016-01-18T00:00:00"/>
    <x v="350"/>
    <x v="266"/>
    <n v="788744"/>
    <s v="null"/>
  </r>
  <r>
    <n v="771902"/>
    <s v="Romeo "/>
    <s v="Mastrangelo"/>
    <s v="Romeo 372@gmail.com"/>
    <x v="2"/>
    <x v="2"/>
    <x v="7"/>
    <x v="2"/>
    <x v="45"/>
    <n v="771902"/>
    <x v="10"/>
    <d v="2016-01-15T20:35:00"/>
    <d v="2016-01-15T00:00:00"/>
    <d v="2016-01-15T00:00:00"/>
    <x v="32"/>
    <x v="269"/>
    <n v="771902"/>
    <s v="null"/>
  </r>
  <r>
    <n v="771903"/>
    <s v="Earl "/>
    <s v="Slane"/>
    <s v="Earl 423@mail.com"/>
    <x v="2"/>
    <x v="0"/>
    <x v="11"/>
    <x v="2"/>
    <x v="81"/>
    <n v="771903"/>
    <x v="4"/>
    <d v="2016-03-27T17:12:00"/>
    <d v="2016-03-27T00:00:00"/>
    <d v="2016-03-27T00:00:00"/>
    <x v="351"/>
    <x v="270"/>
    <n v="771903"/>
    <s v="null"/>
  </r>
  <r>
    <n v="747690"/>
    <s v="Katharina "/>
    <s v="Condie"/>
    <s v="Katharina 203@mail.com"/>
    <x v="1"/>
    <x v="2"/>
    <x v="28"/>
    <x v="2"/>
    <x v="82"/>
    <n v="747690"/>
    <x v="8"/>
    <d v="2016-01-16T20:49:00"/>
    <d v="2016-01-16T00:00:00"/>
    <d v="2016-01-16T00:00:00"/>
    <x v="145"/>
    <x v="27"/>
    <n v="747690"/>
    <s v="null"/>
  </r>
  <r>
    <n v="779485"/>
    <s v="Yong "/>
    <s v="Reisinger"/>
    <s v="Yong 481@yahoo.com"/>
    <x v="2"/>
    <x v="2"/>
    <x v="17"/>
    <x v="9"/>
    <x v="3"/>
    <n v="779485"/>
    <x v="2"/>
    <d v="2016-02-02T11:23:00"/>
    <d v="2016-02-02T00:00:00"/>
    <d v="2016-02-02T00:00:00"/>
    <x v="352"/>
    <x v="271"/>
    <n v="779485"/>
    <s v="null"/>
  </r>
  <r>
    <n v="779485"/>
    <s v="Yong "/>
    <s v="Reisinger"/>
    <s v="Yong 481@yahoo.com"/>
    <x v="2"/>
    <x v="2"/>
    <x v="17"/>
    <x v="9"/>
    <x v="3"/>
    <n v="779485"/>
    <x v="8"/>
    <d v="2016-02-02T17:20:00"/>
    <d v="2016-02-02T00:00:00"/>
    <d v="2016-02-02T00:00:00"/>
    <x v="353"/>
    <x v="272"/>
    <n v="779485"/>
    <s v="null"/>
  </r>
  <r>
    <n v="779485"/>
    <s v="Yong "/>
    <s v="Reisinger"/>
    <s v="Yong 481@yahoo.com"/>
    <x v="2"/>
    <x v="2"/>
    <x v="17"/>
    <x v="9"/>
    <x v="3"/>
    <n v="779485"/>
    <x v="11"/>
    <d v="2016-02-04T23:35:00"/>
    <d v="2016-02-04T00:00:00"/>
    <d v="2016-02-04T00:00:00"/>
    <x v="354"/>
    <x v="70"/>
    <n v="779485"/>
    <s v="null"/>
  </r>
  <r>
    <n v="779485"/>
    <s v="Yong "/>
    <s v="Reisinger"/>
    <s v="Yong 481@yahoo.com"/>
    <x v="2"/>
    <x v="2"/>
    <x v="17"/>
    <x v="9"/>
    <x v="3"/>
    <n v="779485"/>
    <x v="2"/>
    <d v="2016-01-06T11:34:00"/>
    <d v="2016-01-06T00:00:00"/>
    <d v="2016-01-06T00:00:00"/>
    <x v="355"/>
    <x v="186"/>
    <n v="779485"/>
    <s v="null"/>
  </r>
  <r>
    <n v="779485"/>
    <s v="Yong "/>
    <s v="Reisinger"/>
    <s v="Yong 481@yahoo.com"/>
    <x v="2"/>
    <x v="2"/>
    <x v="17"/>
    <x v="9"/>
    <x v="3"/>
    <n v="779485"/>
    <x v="3"/>
    <d v="2016-01-02T08:46:00"/>
    <d v="2016-01-02T00:00:00"/>
    <d v="2016-01-02T00:00:00"/>
    <x v="356"/>
    <x v="244"/>
    <n v="779485"/>
    <s v="null"/>
  </r>
  <r>
    <n v="779485"/>
    <s v="Yong "/>
    <s v="Reisinger"/>
    <s v="Yong 481@yahoo.com"/>
    <x v="2"/>
    <x v="2"/>
    <x v="17"/>
    <x v="9"/>
    <x v="3"/>
    <n v="779485"/>
    <x v="3"/>
    <d v="2016-01-30T12:38:00"/>
    <d v="2016-01-30T00:00:00"/>
    <d v="2016-01-30T00:00:00"/>
    <x v="44"/>
    <x v="273"/>
    <n v="779485"/>
    <s v="null"/>
  </r>
  <r>
    <n v="779485"/>
    <s v="Yong "/>
    <s v="Reisinger"/>
    <s v="Yong 481@yahoo.com"/>
    <x v="2"/>
    <x v="2"/>
    <x v="17"/>
    <x v="9"/>
    <x v="3"/>
    <n v="779485"/>
    <x v="5"/>
    <d v="2016-01-29T13:29:00"/>
    <d v="2016-01-29T00:00:00"/>
    <d v="2016-01-29T00:00:00"/>
    <x v="357"/>
    <x v="274"/>
    <n v="779485"/>
    <s v="null"/>
  </r>
  <r>
    <n v="592732"/>
    <s v="Hugh"/>
    <s v="Bilyeu"/>
    <s v="Hugh14@abcmail.com"/>
    <x v="2"/>
    <x v="2"/>
    <x v="33"/>
    <x v="6"/>
    <x v="14"/>
    <n v="592732"/>
    <x v="10"/>
    <d v="2016-01-13T07:04:00"/>
    <d v="2016-01-13T00:00:00"/>
    <d v="2016-01-13T00:00:00"/>
    <x v="101"/>
    <x v="275"/>
    <n v="592732"/>
    <s v="null"/>
  </r>
  <r>
    <n v="736517"/>
    <s v="Garry "/>
    <s v="Reisinger"/>
    <s v="Garry 283@mail.com"/>
    <x v="2"/>
    <x v="2"/>
    <x v="24"/>
    <x v="5"/>
    <x v="2"/>
    <n v="736517"/>
    <x v="10"/>
    <d v="2016-01-24T12:04:00"/>
    <d v="2016-01-24T00:00:00"/>
    <d v="2016-01-24T00:00:00"/>
    <x v="358"/>
    <x v="10"/>
    <n v="736517"/>
    <s v="null"/>
  </r>
  <r>
    <n v="736517"/>
    <s v="Garry "/>
    <s v="Reisinger"/>
    <s v="Garry 283@mail.com"/>
    <x v="2"/>
    <x v="2"/>
    <x v="24"/>
    <x v="5"/>
    <x v="2"/>
    <n v="736517"/>
    <x v="10"/>
    <d v="2016-01-24T10:15:00"/>
    <d v="2016-01-24T00:00:00"/>
    <d v="2016-01-24T00:00:00"/>
    <x v="359"/>
    <x v="276"/>
    <n v="736517"/>
    <s v="null"/>
  </r>
  <r>
    <n v="779486"/>
    <s v="Valentine "/>
    <s v="Zweifel"/>
    <s v="Valentine 474@abcmail.com"/>
    <x v="2"/>
    <x v="2"/>
    <x v="15"/>
    <x v="2"/>
    <x v="30"/>
    <n v="779486"/>
    <x v="5"/>
    <d v="2016-01-09T05:28:00"/>
    <d v="2016-01-09T00:00:00"/>
    <d v="2016-01-09T00:00:00"/>
    <x v="360"/>
    <x v="184"/>
    <n v="779486"/>
    <s v="null"/>
  </r>
  <r>
    <n v="764429"/>
    <s v="Lucas "/>
    <s v="Pascarella"/>
    <s v="Lucas 232@gmail.com"/>
    <x v="2"/>
    <x v="1"/>
    <x v="9"/>
    <x v="4"/>
    <x v="32"/>
    <n v="764429"/>
    <x v="8"/>
    <d v="2016-01-06T21:23:00"/>
    <d v="2016-01-06T00:00:00"/>
    <d v="2016-01-06T00:00:00"/>
    <x v="361"/>
    <x v="277"/>
    <n v="764429"/>
    <s v="null"/>
  </r>
  <r>
    <n v="764429"/>
    <s v="Lucas "/>
    <s v="Pascarella"/>
    <s v="Lucas 232@gmail.com"/>
    <x v="2"/>
    <x v="1"/>
    <x v="9"/>
    <x v="4"/>
    <x v="32"/>
    <n v="764429"/>
    <x v="11"/>
    <d v="2016-02-27T21:44:00"/>
    <d v="2016-02-27T00:00:00"/>
    <d v="2016-02-27T00:00:00"/>
    <x v="362"/>
    <x v="278"/>
    <n v="764429"/>
    <s v="null"/>
  </r>
  <r>
    <n v="742848"/>
    <s v="Kip "/>
    <s v="Curran"/>
    <s v="Kip 144@abcmail.com"/>
    <x v="2"/>
    <x v="2"/>
    <x v="17"/>
    <x v="1"/>
    <x v="13"/>
    <n v="742848"/>
    <x v="12"/>
    <d v="2016-02-03T06:59:00"/>
    <d v="2016-02-03T00:00:00"/>
    <d v="2016-02-03T00:00:00"/>
    <x v="363"/>
    <x v="236"/>
    <n v="742848"/>
    <s v="null"/>
  </r>
  <r>
    <n v="742848"/>
    <s v="Kip "/>
    <s v="Curran"/>
    <s v="Kip 144@abcmail.com"/>
    <x v="2"/>
    <x v="2"/>
    <x v="17"/>
    <x v="1"/>
    <x v="13"/>
    <n v="742848"/>
    <x v="3"/>
    <d v="2016-01-27T06:15:00"/>
    <d v="2016-01-27T00:00:00"/>
    <d v="2016-01-27T00:00:00"/>
    <x v="364"/>
    <x v="279"/>
    <n v="742848"/>
    <s v="null"/>
  </r>
  <r>
    <n v="742848"/>
    <s v="Kip "/>
    <s v="Curran"/>
    <s v="Kip 144@abcmail.com"/>
    <x v="2"/>
    <x v="2"/>
    <x v="17"/>
    <x v="1"/>
    <x v="13"/>
    <n v="742848"/>
    <x v="5"/>
    <d v="2016-02-09T21:10:00"/>
    <d v="2016-02-09T00:00:00"/>
    <d v="2016-02-09T00:00:00"/>
    <x v="365"/>
    <x v="129"/>
    <n v="742848"/>
    <s v="null"/>
  </r>
  <r>
    <n v="596302"/>
    <s v="Lloyd "/>
    <s v="Reisinger"/>
    <s v="Lloyd 73@mail.com"/>
    <x v="2"/>
    <x v="1"/>
    <x v="45"/>
    <x v="2"/>
    <x v="47"/>
    <n v="596302"/>
    <x v="1"/>
    <d v="2016-01-03T21:56:00"/>
    <d v="2016-01-03T00:00:00"/>
    <d v="2016-01-03T00:00:00"/>
    <x v="366"/>
    <x v="100"/>
    <n v="596302"/>
    <s v="null"/>
  </r>
  <r>
    <n v="777129"/>
    <s v="Hugh"/>
    <s v="Luthy"/>
    <s v="Hugh15@mailxyz.com"/>
    <x v="2"/>
    <x v="1"/>
    <x v="22"/>
    <x v="9"/>
    <x v="14"/>
    <n v="777129"/>
    <x v="8"/>
    <d v="2016-01-10T21:09:00"/>
    <d v="2016-01-10T00:00:00"/>
    <d v="2016-01-10T00:00:00"/>
    <x v="367"/>
    <x v="16"/>
    <n v="777129"/>
    <s v="null"/>
  </r>
  <r>
    <n v="597265"/>
    <s v="Donald "/>
    <s v="Roquemore"/>
    <s v="Donald 221@yahoo.com"/>
    <x v="2"/>
    <x v="2"/>
    <x v="11"/>
    <x v="2"/>
    <x v="5"/>
    <n v="597265"/>
    <x v="9"/>
    <d v="2016-01-09T12:30:00"/>
    <d v="2016-01-09T00:00:00"/>
    <d v="2016-01-09T00:00:00"/>
    <x v="368"/>
    <x v="280"/>
    <n v="597265"/>
    <s v="null"/>
  </r>
  <r>
    <n v="597265"/>
    <s v="Donald "/>
    <s v="Roquemore"/>
    <s v="Donald 221@yahoo.com"/>
    <x v="2"/>
    <x v="2"/>
    <x v="11"/>
    <x v="2"/>
    <x v="5"/>
    <n v="597265"/>
    <x v="8"/>
    <d v="2016-01-17T18:15:00"/>
    <d v="2016-01-17T00:00:00"/>
    <d v="2016-01-17T00:00:00"/>
    <x v="369"/>
    <x v="281"/>
    <n v="597265"/>
    <s v="null"/>
  </r>
  <r>
    <n v="597265"/>
    <s v="Donald "/>
    <s v="Roquemore"/>
    <s v="Donald 221@yahoo.com"/>
    <x v="2"/>
    <x v="2"/>
    <x v="11"/>
    <x v="2"/>
    <x v="5"/>
    <n v="597265"/>
    <x v="3"/>
    <d v="2016-01-08T15:31:00"/>
    <d v="2016-01-08T00:00:00"/>
    <d v="2016-01-08T00:00:00"/>
    <x v="81"/>
    <x v="282"/>
    <n v="597265"/>
    <s v="null"/>
  </r>
  <r>
    <n v="771907"/>
    <s v="Robby "/>
    <s v="Martello"/>
    <s v="Robby 164@abcmail.com"/>
    <x v="2"/>
    <x v="2"/>
    <x v="40"/>
    <x v="3"/>
    <x v="27"/>
    <n v="771907"/>
    <x v="8"/>
    <d v="2016-02-09T19:45:00"/>
    <d v="2016-02-09T00:00:00"/>
    <d v="2016-02-09T00:00:00"/>
    <x v="370"/>
    <x v="283"/>
    <n v="771907"/>
    <s v="null"/>
  </r>
  <r>
    <n v="720398"/>
    <s v="Emilie "/>
    <s v="Deblois"/>
    <s v="Emilie 504@abcmail.com"/>
    <x v="1"/>
    <x v="4"/>
    <x v="11"/>
    <x v="2"/>
    <x v="83"/>
    <n v="720398"/>
    <x v="13"/>
    <d v="2016-01-20T19:22:00"/>
    <d v="2016-01-20T00:00:00"/>
    <d v="2016-01-20T00:00:00"/>
    <x v="371"/>
    <x v="284"/>
    <n v="720398"/>
    <s v="null"/>
  </r>
  <r>
    <n v="597491"/>
    <s v="Stephen "/>
    <s v="Sieren"/>
    <s v="Stephen 152@gmail.com"/>
    <x v="2"/>
    <x v="2"/>
    <x v="7"/>
    <x v="2"/>
    <x v="48"/>
    <n v="597491"/>
    <x v="1"/>
    <d v="2016-01-03T16:11:00"/>
    <d v="2016-01-03T00:00:00"/>
    <d v="2016-01-03T00:00:00"/>
    <x v="92"/>
    <x v="285"/>
    <n v="597491"/>
    <s v="null"/>
  </r>
  <r>
    <n v="597491"/>
    <s v="Stephen "/>
    <s v="Sieren"/>
    <s v="Stephen 152@gmail.com"/>
    <x v="2"/>
    <x v="2"/>
    <x v="7"/>
    <x v="2"/>
    <x v="48"/>
    <n v="597491"/>
    <x v="11"/>
    <d v="2016-01-03T02:45:00"/>
    <d v="2016-01-03T00:00:00"/>
    <d v="2016-01-03T00:00:00"/>
    <x v="372"/>
    <x v="103"/>
    <n v="597491"/>
    <s v="null"/>
  </r>
  <r>
    <n v="597491"/>
    <s v="Stephen "/>
    <s v="Sieren"/>
    <s v="Stephen 152@gmail.com"/>
    <x v="2"/>
    <x v="2"/>
    <x v="7"/>
    <x v="2"/>
    <x v="48"/>
    <n v="597491"/>
    <x v="4"/>
    <d v="2016-01-08T15:56:00"/>
    <d v="2016-01-08T00:00:00"/>
    <d v="2016-01-08T00:00:00"/>
    <x v="151"/>
    <x v="286"/>
    <n v="597491"/>
    <s v="null"/>
  </r>
  <r>
    <n v="597491"/>
    <s v="Stephen "/>
    <s v="Sieren"/>
    <s v="Stephen 152@gmail.com"/>
    <x v="2"/>
    <x v="2"/>
    <x v="7"/>
    <x v="2"/>
    <x v="48"/>
    <n v="597491"/>
    <x v="2"/>
    <d v="2016-01-05T20:07:00"/>
    <d v="2016-01-05T00:00:00"/>
    <d v="2016-01-05T00:00:00"/>
    <x v="373"/>
    <x v="287"/>
    <n v="597491"/>
    <s v="null"/>
  </r>
  <r>
    <n v="771048"/>
    <s v="Robby "/>
    <s v="Deblois"/>
    <s v="Robby 162@gmail.com"/>
    <x v="2"/>
    <x v="0"/>
    <x v="14"/>
    <x v="2"/>
    <x v="27"/>
    <n v="771048"/>
    <x v="9"/>
    <d v="2016-02-05T23:58:00"/>
    <d v="2016-02-05T00:00:00"/>
    <d v="2016-02-05T00:00:00"/>
    <x v="374"/>
    <x v="143"/>
    <n v="771048"/>
    <s v="null"/>
  </r>
  <r>
    <n v="771048"/>
    <s v="Robby "/>
    <s v="Deblois"/>
    <s v="Robby 162@gmail.com"/>
    <x v="2"/>
    <x v="0"/>
    <x v="14"/>
    <x v="2"/>
    <x v="27"/>
    <n v="771048"/>
    <x v="5"/>
    <d v="2016-02-06T22:34:00"/>
    <d v="2016-02-06T00:00:00"/>
    <d v="2016-02-06T00:00:00"/>
    <x v="237"/>
    <x v="288"/>
    <n v="771048"/>
    <s v="null"/>
  </r>
  <r>
    <n v="809039"/>
    <s v="Jacinto "/>
    <s v="Styer"/>
    <s v="Jacinto 254@abcmail.com"/>
    <x v="2"/>
    <x v="1"/>
    <x v="5"/>
    <x v="5"/>
    <x v="19"/>
    <n v="809039"/>
    <x v="2"/>
    <d v="2016-02-19T19:25:00"/>
    <d v="2016-02-19T00:00:00"/>
    <d v="2016-02-19T00:00:00"/>
    <x v="375"/>
    <x v="112"/>
    <n v="809039"/>
    <s v="null"/>
  </r>
  <r>
    <n v="809039"/>
    <s v="Jacinto "/>
    <s v="Styer"/>
    <s v="Jacinto 254@abcmail.com"/>
    <x v="2"/>
    <x v="1"/>
    <x v="5"/>
    <x v="5"/>
    <x v="19"/>
    <n v="809039"/>
    <x v="4"/>
    <d v="2016-02-19T19:26:00"/>
    <d v="2016-02-19T00:00:00"/>
    <d v="2016-02-19T00:00:00"/>
    <x v="376"/>
    <x v="19"/>
    <n v="809039"/>
    <s v="null"/>
  </r>
  <r>
    <n v="809039"/>
    <s v="Jacinto "/>
    <s v="Styer"/>
    <s v="Jacinto 254@abcmail.com"/>
    <x v="2"/>
    <x v="1"/>
    <x v="5"/>
    <x v="5"/>
    <x v="19"/>
    <n v="809039"/>
    <x v="4"/>
    <d v="2016-02-19T19:57:00"/>
    <d v="2016-02-19T00:00:00"/>
    <d v="2016-02-19T00:00:00"/>
    <x v="210"/>
    <x v="11"/>
    <n v="809039"/>
    <s v="null"/>
  </r>
  <r>
    <n v="600446"/>
    <s v="Robby "/>
    <s v="Mcculloch"/>
    <s v="Robby 164@abcmail.com"/>
    <x v="2"/>
    <x v="2"/>
    <x v="15"/>
    <x v="1"/>
    <x v="27"/>
    <n v="600446"/>
    <x v="4"/>
    <d v="2016-01-06T12:07:00"/>
    <d v="2016-01-06T00:00:00"/>
    <d v="2016-01-06T00:00:00"/>
    <x v="307"/>
    <x v="118"/>
    <n v="600446"/>
    <s v="null"/>
  </r>
  <r>
    <n v="601098"/>
    <s v="Wilburn "/>
    <s v="Pool"/>
    <s v="Wilburn 304@abcmail.com"/>
    <x v="2"/>
    <x v="2"/>
    <x v="17"/>
    <x v="2"/>
    <x v="37"/>
    <n v="601098"/>
    <x v="16"/>
    <d v="2016-01-07T08:59:00"/>
    <d v="2016-01-07T00:00:00"/>
    <d v="2016-01-07T00:00:00"/>
    <x v="113"/>
    <x v="271"/>
    <n v="601098"/>
    <s v="null"/>
  </r>
  <r>
    <n v="601176"/>
    <s v="Filiberto "/>
    <s v="Pool"/>
    <s v="Filiberto 43@mail.com"/>
    <x v="2"/>
    <x v="1"/>
    <x v="8"/>
    <x v="5"/>
    <x v="7"/>
    <n v="601176"/>
    <x v="2"/>
    <d v="2016-01-02T19:26:00"/>
    <d v="2016-01-02T00:00:00"/>
    <d v="2016-01-02T00:00:00"/>
    <x v="376"/>
    <x v="24"/>
    <n v="601176"/>
    <s v="null"/>
  </r>
  <r>
    <n v="788751"/>
    <s v="Cody "/>
    <s v="Jacox"/>
    <s v="Cody 124@abcmail.com"/>
    <x v="2"/>
    <x v="4"/>
    <x v="2"/>
    <x v="4"/>
    <x v="66"/>
    <n v="788751"/>
    <x v="5"/>
    <d v="2016-02-01T23:35:00"/>
    <d v="2016-02-01T00:00:00"/>
    <d v="2016-02-01T00:00:00"/>
    <x v="354"/>
    <x v="289"/>
    <n v="788751"/>
    <s v="null"/>
  </r>
  <r>
    <n v="809043"/>
    <s v="Donald "/>
    <s v="Mina"/>
    <s v="Donald 224@abcmail.com"/>
    <x v="2"/>
    <x v="2"/>
    <x v="6"/>
    <x v="2"/>
    <x v="5"/>
    <n v="809043"/>
    <x v="8"/>
    <d v="2016-02-19T06:10:00"/>
    <d v="2016-02-19T00:00:00"/>
    <d v="2016-02-19T00:00:00"/>
    <x v="377"/>
    <x v="290"/>
    <n v="809043"/>
    <s v="null"/>
  </r>
  <r>
    <n v="809043"/>
    <s v="Donald "/>
    <s v="Mina"/>
    <s v="Donald 224@abcmail.com"/>
    <x v="2"/>
    <x v="2"/>
    <x v="6"/>
    <x v="2"/>
    <x v="5"/>
    <n v="809043"/>
    <x v="4"/>
    <d v="2016-02-21T21:50:00"/>
    <d v="2016-02-21T00:00:00"/>
    <d v="2016-02-21T00:00:00"/>
    <x v="378"/>
    <x v="291"/>
    <n v="809043"/>
    <s v="null"/>
  </r>
  <r>
    <n v="809043"/>
    <s v="Donald "/>
    <s v="Mina"/>
    <s v="Donald 224@abcmail.com"/>
    <x v="2"/>
    <x v="2"/>
    <x v="6"/>
    <x v="2"/>
    <x v="5"/>
    <n v="809043"/>
    <x v="4"/>
    <d v="2016-03-06T14:46:00"/>
    <d v="2016-03-06T00:00:00"/>
    <d v="2016-03-06T00:00:00"/>
    <x v="343"/>
    <x v="92"/>
    <n v="809043"/>
    <s v="null"/>
  </r>
  <r>
    <n v="771911"/>
    <s v="Dion "/>
    <s v="Condie"/>
    <s v="Dion 332@gmail.com"/>
    <x v="2"/>
    <x v="2"/>
    <x v="17"/>
    <x v="9"/>
    <x v="70"/>
    <n v="771911"/>
    <x v="4"/>
    <d v="2016-02-14T21:34:00"/>
    <d v="2016-02-14T00:00:00"/>
    <d v="2016-02-14T00:00:00"/>
    <x v="193"/>
    <x v="20"/>
    <n v="771911"/>
    <s v="null"/>
  </r>
  <r>
    <n v="771911"/>
    <s v="Dion "/>
    <s v="Condie"/>
    <s v="Dion 332@gmail.com"/>
    <x v="2"/>
    <x v="2"/>
    <x v="17"/>
    <x v="9"/>
    <x v="70"/>
    <n v="771911"/>
    <x v="4"/>
    <d v="2016-02-02T19:35:00"/>
    <d v="2016-02-02T00:00:00"/>
    <d v="2016-02-02T00:00:00"/>
    <x v="379"/>
    <x v="292"/>
    <n v="771911"/>
    <s v="null"/>
  </r>
  <r>
    <n v="771911"/>
    <s v="Dion "/>
    <s v="Condie"/>
    <s v="Dion 332@gmail.com"/>
    <x v="2"/>
    <x v="2"/>
    <x v="17"/>
    <x v="9"/>
    <x v="70"/>
    <n v="771911"/>
    <x v="1"/>
    <d v="2016-02-02T02:50:00"/>
    <d v="2016-02-02T00:00:00"/>
    <d v="2016-02-02T00:00:00"/>
    <x v="380"/>
    <x v="217"/>
    <n v="771911"/>
    <s v="null"/>
  </r>
  <r>
    <n v="771911"/>
    <s v="Dion "/>
    <s v="Condie"/>
    <s v="Dion 332@gmail.com"/>
    <x v="2"/>
    <x v="2"/>
    <x v="17"/>
    <x v="9"/>
    <x v="70"/>
    <n v="771911"/>
    <x v="5"/>
    <d v="2016-02-02T02:33:00"/>
    <d v="2016-02-02T00:00:00"/>
    <d v="2016-02-02T00:00:00"/>
    <x v="381"/>
    <x v="293"/>
    <n v="771911"/>
    <s v="null"/>
  </r>
  <r>
    <n v="771911"/>
    <s v="Dion "/>
    <s v="Condie"/>
    <s v="Dion 332@gmail.com"/>
    <x v="2"/>
    <x v="2"/>
    <x v="17"/>
    <x v="9"/>
    <x v="70"/>
    <n v="771911"/>
    <x v="8"/>
    <d v="2016-03-08T12:23:00"/>
    <d v="2016-03-08T00:00:00"/>
    <d v="2016-03-08T00:00:00"/>
    <x v="382"/>
    <x v="294"/>
    <n v="771911"/>
    <s v="null"/>
  </r>
  <r>
    <n v="771911"/>
    <s v="Dion "/>
    <s v="Condie"/>
    <s v="Dion 332@gmail.com"/>
    <x v="2"/>
    <x v="2"/>
    <x v="17"/>
    <x v="9"/>
    <x v="70"/>
    <n v="771911"/>
    <x v="0"/>
    <d v="2016-03-06T14:26:00"/>
    <d v="2016-03-06T00:00:00"/>
    <d v="2016-03-06T00:00:00"/>
    <x v="383"/>
    <x v="0"/>
    <n v="771911"/>
    <s v="null"/>
  </r>
  <r>
    <n v="610413"/>
    <s v="Earline "/>
    <s v="Zweifel"/>
    <s v="Earline 323@mail.com"/>
    <x v="1"/>
    <x v="2"/>
    <x v="46"/>
    <x v="1"/>
    <x v="84"/>
    <n v="610413"/>
    <x v="8"/>
    <d v="2016-01-13T22:19:00"/>
    <d v="2016-01-13T00:00:00"/>
    <d v="2016-01-13T00:00:00"/>
    <x v="384"/>
    <x v="295"/>
    <n v="610413"/>
    <s v="null"/>
  </r>
  <r>
    <n v="809045"/>
    <s v="Garry "/>
    <s v="Tancredi"/>
    <s v="Garry 282@gmail.com"/>
    <x v="2"/>
    <x v="4"/>
    <x v="29"/>
    <x v="4"/>
    <x v="2"/>
    <n v="809045"/>
    <x v="9"/>
    <d v="2016-02-18T23:13:00"/>
    <d v="2016-02-18T00:00:00"/>
    <d v="2016-02-18T00:00:00"/>
    <x v="385"/>
    <x v="2"/>
    <n v="809045"/>
    <s v="null"/>
  </r>
  <r>
    <n v="809045"/>
    <s v="Garry "/>
    <s v="Tancredi"/>
    <s v="Garry 282@gmail.com"/>
    <x v="2"/>
    <x v="4"/>
    <x v="29"/>
    <x v="4"/>
    <x v="2"/>
    <n v="809045"/>
    <x v="2"/>
    <d v="2016-02-27T21:56:00"/>
    <d v="2016-02-27T00:00:00"/>
    <d v="2016-02-27T00:00:00"/>
    <x v="366"/>
    <x v="91"/>
    <n v="809045"/>
    <s v="null"/>
  </r>
  <r>
    <n v="615122"/>
    <s v="Loyd "/>
    <s v="Tatham"/>
    <s v="Loyd 495@mailxyz.com"/>
    <x v="2"/>
    <x v="2"/>
    <x v="7"/>
    <x v="5"/>
    <x v="24"/>
    <n v="615122"/>
    <x v="4"/>
    <d v="2016-01-10T16:01:00"/>
    <d v="2016-01-10T00:00:00"/>
    <d v="2016-01-10T00:00:00"/>
    <x v="386"/>
    <x v="129"/>
    <n v="615122"/>
    <s v="null"/>
  </r>
  <r>
    <n v="779489"/>
    <s v="Wilton "/>
    <s v="Bilyeu"/>
    <s v="Wilton 411@yahoo.com"/>
    <x v="2"/>
    <x v="2"/>
    <x v="4"/>
    <x v="3"/>
    <x v="85"/>
    <n v="779489"/>
    <x v="11"/>
    <d v="2016-03-03T04:28:00"/>
    <d v="2016-03-03T00:00:00"/>
    <d v="2016-03-03T00:00:00"/>
    <x v="240"/>
    <x v="78"/>
    <n v="779489"/>
    <s v="null"/>
  </r>
  <r>
    <n v="809047"/>
    <s v="Alecia "/>
    <s v="Roquemore"/>
    <s v="Alecia 164@abcmail.com"/>
    <x v="1"/>
    <x v="0"/>
    <x v="45"/>
    <x v="4"/>
    <x v="86"/>
    <n v="809047"/>
    <x v="8"/>
    <d v="2016-03-31T23:42:00"/>
    <d v="2016-03-31T00:00:00"/>
    <d v="2016-03-31T00:00:00"/>
    <x v="387"/>
    <x v="296"/>
    <n v="809047"/>
    <s v="null"/>
  </r>
  <r>
    <n v="809047"/>
    <s v="Alecia "/>
    <s v="Roquemore"/>
    <s v="Alecia 164@abcmail.com"/>
    <x v="1"/>
    <x v="0"/>
    <x v="45"/>
    <x v="4"/>
    <x v="86"/>
    <n v="809047"/>
    <x v="8"/>
    <d v="2016-03-07T20:36:00"/>
    <d v="2016-03-07T00:00:00"/>
    <d v="2016-03-07T00:00:00"/>
    <x v="234"/>
    <x v="297"/>
    <n v="809047"/>
    <s v="null"/>
  </r>
  <r>
    <n v="737179"/>
    <s v="Earl "/>
    <s v="Curran"/>
    <s v="Earl 425@mailxyz.com"/>
    <x v="2"/>
    <x v="0"/>
    <x v="17"/>
    <x v="2"/>
    <x v="81"/>
    <n v="737179"/>
    <x v="8"/>
    <d v="2016-01-24T13:40:00"/>
    <d v="2016-01-24T00:00:00"/>
    <d v="2016-01-24T00:00:00"/>
    <x v="388"/>
    <x v="1"/>
    <n v="737179"/>
    <s v="null"/>
  </r>
  <r>
    <n v="621328"/>
    <s v="Stacy "/>
    <s v="Nicholls"/>
    <s v="Stacy 272@gmail.com"/>
    <x v="2"/>
    <x v="0"/>
    <x v="28"/>
    <x v="4"/>
    <x v="8"/>
    <n v="621328"/>
    <x v="13"/>
    <d v="2016-01-13T22:02:00"/>
    <d v="2016-01-13T00:00:00"/>
    <d v="2016-01-13T00:00:00"/>
    <x v="389"/>
    <x v="298"/>
    <n v="621328"/>
    <s v="null"/>
  </r>
  <r>
    <n v="621470"/>
    <s v="Shane "/>
    <s v="Gettys"/>
    <s v="Shane 24@abcmail.com"/>
    <x v="2"/>
    <x v="1"/>
    <x v="2"/>
    <x v="4"/>
    <x v="17"/>
    <n v="621470"/>
    <x v="6"/>
    <d v="2016-01-04T20:32:00"/>
    <d v="2016-01-04T00:00:00"/>
    <d v="2016-01-04T00:00:00"/>
    <x v="390"/>
    <x v="299"/>
    <n v="621470"/>
    <s v="null"/>
  </r>
  <r>
    <n v="621470"/>
    <s v="Shane "/>
    <s v="Gettys"/>
    <s v="Shane 24@abcmail.com"/>
    <x v="2"/>
    <x v="1"/>
    <x v="2"/>
    <x v="4"/>
    <x v="17"/>
    <n v="621470"/>
    <x v="5"/>
    <d v="2016-01-22T15:45:00"/>
    <d v="2016-01-22T00:00:00"/>
    <d v="2016-01-22T00:00:00"/>
    <x v="8"/>
    <x v="300"/>
    <n v="621470"/>
    <s v="null"/>
  </r>
  <r>
    <n v="642504"/>
    <s v="None"/>
    <s v="None"/>
    <s v="Sharri 361@yahoo.com"/>
    <x v="0"/>
    <x v="0"/>
    <x v="0"/>
    <x v="0"/>
    <x v="0"/>
    <n v="642504"/>
    <x v="13"/>
    <d v="2016-03-30T08:07:00"/>
    <d v="2016-03-30T00:00:00"/>
    <d v="2016-03-30T00:00:00"/>
    <x v="391"/>
    <x v="301"/>
    <n v="642504"/>
    <s v="null"/>
  </r>
  <r>
    <n v="809048"/>
    <s v="Samuel "/>
    <s v="Gettys"/>
    <s v="Samuel 262@gmail.com"/>
    <x v="2"/>
    <x v="5"/>
    <x v="31"/>
    <x v="6"/>
    <x v="72"/>
    <n v="809048"/>
    <x v="4"/>
    <d v="2016-02-19T13:51:00"/>
    <d v="2016-02-19T00:00:00"/>
    <d v="2016-02-19T00:00:00"/>
    <x v="42"/>
    <x v="266"/>
    <n v="809048"/>
    <s v="null"/>
  </r>
  <r>
    <n v="809048"/>
    <s v="Samuel "/>
    <s v="Gettys"/>
    <s v="Samuel 262@gmail.com"/>
    <x v="2"/>
    <x v="5"/>
    <x v="31"/>
    <x v="6"/>
    <x v="72"/>
    <n v="809048"/>
    <x v="0"/>
    <d v="2016-02-24T16:59:00"/>
    <d v="2016-02-24T00:00:00"/>
    <d v="2016-02-24T00:00:00"/>
    <x v="392"/>
    <x v="302"/>
    <n v="809048"/>
    <s v="null"/>
  </r>
  <r>
    <n v="809048"/>
    <s v="Samuel "/>
    <s v="Gettys"/>
    <s v="Samuel 262@gmail.com"/>
    <x v="2"/>
    <x v="5"/>
    <x v="31"/>
    <x v="6"/>
    <x v="72"/>
    <n v="809048"/>
    <x v="10"/>
    <d v="2016-02-03T11:55:00"/>
    <d v="2016-02-03T00:00:00"/>
    <d v="2016-02-03T00:00:00"/>
    <x v="393"/>
    <x v="108"/>
    <n v="809048"/>
    <s v="null"/>
  </r>
  <r>
    <n v="809048"/>
    <s v="Samuel "/>
    <s v="Gettys"/>
    <s v="Samuel 262@gmail.com"/>
    <x v="2"/>
    <x v="5"/>
    <x v="31"/>
    <x v="6"/>
    <x v="72"/>
    <n v="809048"/>
    <x v="3"/>
    <d v="2016-02-03T12:05:00"/>
    <d v="2016-02-03T00:00:00"/>
    <d v="2016-02-03T00:00:00"/>
    <x v="394"/>
    <x v="303"/>
    <n v="809048"/>
    <s v="null"/>
  </r>
  <r>
    <n v="809048"/>
    <s v="Samuel "/>
    <s v="Gettys"/>
    <s v="Samuel 262@gmail.com"/>
    <x v="2"/>
    <x v="5"/>
    <x v="31"/>
    <x v="6"/>
    <x v="72"/>
    <n v="809048"/>
    <x v="0"/>
    <d v="2016-03-09T15:18:00"/>
    <d v="2016-03-09T00:00:00"/>
    <d v="2016-03-09T00:00:00"/>
    <x v="266"/>
    <x v="304"/>
    <n v="809048"/>
    <s v="null"/>
  </r>
  <r>
    <n v="624257"/>
    <s v="Eli "/>
    <s v="Reisinger"/>
    <s v="Eli 295@mailxyz.com"/>
    <x v="2"/>
    <x v="2"/>
    <x v="17"/>
    <x v="2"/>
    <x v="44"/>
    <n v="624257"/>
    <x v="9"/>
    <d v="2016-01-12T12:07:00"/>
    <d v="2016-01-12T00:00:00"/>
    <d v="2016-01-12T00:00:00"/>
    <x v="307"/>
    <x v="38"/>
    <n v="624257"/>
    <s v="null"/>
  </r>
  <r>
    <n v="624257"/>
    <s v="Eli "/>
    <s v="Reisinger"/>
    <s v="Eli 295@mailxyz.com"/>
    <x v="2"/>
    <x v="2"/>
    <x v="17"/>
    <x v="2"/>
    <x v="44"/>
    <n v="624257"/>
    <x v="8"/>
    <d v="2016-01-11T15:18:00"/>
    <d v="2016-01-11T00:00:00"/>
    <d v="2016-01-11T00:00:00"/>
    <x v="266"/>
    <x v="305"/>
    <n v="624257"/>
    <s v="null"/>
  </r>
  <r>
    <n v="624257"/>
    <s v="Eli "/>
    <s v="Reisinger"/>
    <s v="Eli 295@mailxyz.com"/>
    <x v="2"/>
    <x v="2"/>
    <x v="17"/>
    <x v="2"/>
    <x v="44"/>
    <n v="624257"/>
    <x v="11"/>
    <d v="2016-01-11T22:29:00"/>
    <d v="2016-01-11T00:00:00"/>
    <d v="2016-01-11T00:00:00"/>
    <x v="167"/>
    <x v="89"/>
    <n v="624257"/>
    <s v="null"/>
  </r>
  <r>
    <n v="624257"/>
    <s v="Eli "/>
    <s v="Reisinger"/>
    <s v="Eli 295@mailxyz.com"/>
    <x v="2"/>
    <x v="2"/>
    <x v="17"/>
    <x v="2"/>
    <x v="44"/>
    <n v="624257"/>
    <x v="4"/>
    <d v="2016-01-09T17:36:00"/>
    <d v="2016-01-09T00:00:00"/>
    <d v="2016-01-09T00:00:00"/>
    <x v="395"/>
    <x v="10"/>
    <n v="624257"/>
    <s v="null"/>
  </r>
  <r>
    <n v="779500"/>
    <s v="Brendan "/>
    <s v="Hoadley"/>
    <s v="Brendan 451@yahoo.com"/>
    <x v="2"/>
    <x v="1"/>
    <x v="36"/>
    <x v="4"/>
    <x v="54"/>
    <n v="779500"/>
    <x v="7"/>
    <d v="2016-02-14T08:00:00"/>
    <d v="2016-02-14T00:00:00"/>
    <d v="2016-02-14T00:00:00"/>
    <x v="396"/>
    <x v="113"/>
    <n v="779500"/>
    <s v="null"/>
  </r>
  <r>
    <n v="779500"/>
    <s v="Brendan "/>
    <s v="Hoadley"/>
    <s v="Brendan 451@yahoo.com"/>
    <x v="2"/>
    <x v="1"/>
    <x v="36"/>
    <x v="4"/>
    <x v="54"/>
    <n v="779500"/>
    <x v="2"/>
    <d v="2016-02-02T17:55:00"/>
    <d v="2016-02-02T00:00:00"/>
    <d v="2016-02-02T00:00:00"/>
    <x v="247"/>
    <x v="306"/>
    <n v="779500"/>
    <s v="null"/>
  </r>
  <r>
    <n v="629727"/>
    <s v="Raymundo "/>
    <s v="Martello"/>
    <s v="Raymundo 433@mail.com"/>
    <x v="2"/>
    <x v="2"/>
    <x v="34"/>
    <x v="2"/>
    <x v="18"/>
    <n v="629727"/>
    <x v="5"/>
    <d v="2016-01-15T09:47:00"/>
    <d v="2016-01-15T00:00:00"/>
    <d v="2016-01-15T00:00:00"/>
    <x v="397"/>
    <x v="38"/>
    <n v="629727"/>
    <s v="null"/>
  </r>
  <r>
    <n v="635874"/>
    <s v="Brendan "/>
    <s v="Luthy"/>
    <s v="Brendan 452@gmail.com"/>
    <x v="2"/>
    <x v="2"/>
    <x v="34"/>
    <x v="3"/>
    <x v="54"/>
    <n v="635874"/>
    <x v="12"/>
    <d v="2016-01-14T19:55:00"/>
    <d v="2016-01-14T00:00:00"/>
    <d v="2016-01-14T00:00:00"/>
    <x v="398"/>
    <x v="307"/>
    <n v="635874"/>
    <s v="null"/>
  </r>
  <r>
    <n v="635874"/>
    <s v="Brendan "/>
    <s v="Luthy"/>
    <s v="Brendan 452@gmail.com"/>
    <x v="2"/>
    <x v="2"/>
    <x v="34"/>
    <x v="3"/>
    <x v="54"/>
    <n v="635874"/>
    <x v="5"/>
    <d v="2016-01-19T23:27:00"/>
    <d v="2016-01-19T00:00:00"/>
    <d v="2016-01-19T00:00:00"/>
    <x v="338"/>
    <x v="308"/>
    <n v="635874"/>
    <s v="null"/>
  </r>
  <r>
    <n v="638935"/>
    <s v="None"/>
    <s v="None"/>
    <s v="Lesli 225@mailxyz.com"/>
    <x v="0"/>
    <x v="0"/>
    <x v="0"/>
    <x v="0"/>
    <x v="0"/>
    <n v="638935"/>
    <x v="9"/>
    <d v="2016-01-21T14:47:00"/>
    <d v="2016-01-21T00:00:00"/>
    <d v="2016-01-21T00:00:00"/>
    <x v="301"/>
    <x v="309"/>
    <n v="638935"/>
    <s v="null"/>
  </r>
  <r>
    <n v="789241"/>
    <s v="Carter "/>
    <s v="Crotty"/>
    <s v="Carter 34@abcmail.com"/>
    <x v="2"/>
    <x v="4"/>
    <x v="17"/>
    <x v="7"/>
    <x v="6"/>
    <n v="789241"/>
    <x v="2"/>
    <d v="2016-02-13T10:22:00"/>
    <d v="2016-02-13T00:00:00"/>
    <d v="2016-02-13T00:00:00"/>
    <x v="399"/>
    <x v="310"/>
    <n v="789241"/>
    <s v="null"/>
  </r>
  <r>
    <n v="641735"/>
    <s v="Art "/>
    <s v="Sytsma"/>
    <s v="Art 403@mail.com"/>
    <x v="2"/>
    <x v="2"/>
    <x v="9"/>
    <x v="2"/>
    <x v="9"/>
    <n v="641735"/>
    <x v="9"/>
    <d v="2016-01-21T20:51:00"/>
    <d v="2016-01-21T00:00:00"/>
    <d v="2016-01-21T00:00:00"/>
    <x v="400"/>
    <x v="284"/>
    <n v="641735"/>
    <s v="null"/>
  </r>
  <r>
    <n v="641735"/>
    <s v="Art "/>
    <s v="Sytsma"/>
    <s v="Art 403@mail.com"/>
    <x v="2"/>
    <x v="2"/>
    <x v="9"/>
    <x v="2"/>
    <x v="9"/>
    <n v="641735"/>
    <x v="6"/>
    <d v="2016-01-31T10:29:00"/>
    <d v="2016-01-31T00:00:00"/>
    <d v="2016-01-31T00:00:00"/>
    <x v="35"/>
    <x v="311"/>
    <n v="641735"/>
    <s v="null"/>
  </r>
  <r>
    <n v="652906"/>
    <s v="Wilton "/>
    <s v="Hier"/>
    <s v="Wilton 413@mail.com"/>
    <x v="2"/>
    <x v="4"/>
    <x v="5"/>
    <x v="4"/>
    <x v="85"/>
    <n v="652906"/>
    <x v="13"/>
    <d v="2016-01-18T19:11:00"/>
    <d v="2016-01-18T00:00:00"/>
    <d v="2016-01-18T00:00:00"/>
    <x v="39"/>
    <x v="66"/>
    <n v="652906"/>
    <s v="null"/>
  </r>
  <r>
    <n v="652906"/>
    <s v="Wilton "/>
    <s v="Hier"/>
    <s v="Wilton 413@mail.com"/>
    <x v="2"/>
    <x v="4"/>
    <x v="5"/>
    <x v="4"/>
    <x v="85"/>
    <n v="652906"/>
    <x v="4"/>
    <d v="2016-01-19T09:01:00"/>
    <d v="2016-01-19T00:00:00"/>
    <d v="2016-01-19T00:00:00"/>
    <x v="401"/>
    <x v="138"/>
    <n v="652906"/>
    <s v="null"/>
  </r>
  <r>
    <n v="652906"/>
    <s v="Wilton "/>
    <s v="Hier"/>
    <s v="Wilton 413@mail.com"/>
    <x v="2"/>
    <x v="4"/>
    <x v="5"/>
    <x v="4"/>
    <x v="85"/>
    <n v="652906"/>
    <x v="13"/>
    <d v="2016-01-19T09:07:00"/>
    <d v="2016-01-19T00:00:00"/>
    <d v="2016-01-19T00:00:00"/>
    <x v="402"/>
    <x v="312"/>
    <n v="652906"/>
    <s v="null"/>
  </r>
  <r>
    <n v="809056"/>
    <s v="Randy "/>
    <s v="Mina"/>
    <s v="Randy 395@mailxyz.com"/>
    <x v="2"/>
    <x v="4"/>
    <x v="5"/>
    <x v="4"/>
    <x v="28"/>
    <n v="809056"/>
    <x v="3"/>
    <d v="2016-02-05T16:31:00"/>
    <d v="2016-02-05T00:00:00"/>
    <d v="2016-02-05T00:00:00"/>
    <x v="403"/>
    <x v="313"/>
    <n v="809056"/>
    <s v="null"/>
  </r>
  <r>
    <n v="809056"/>
    <s v="Randy "/>
    <s v="Mina"/>
    <s v="Randy 395@mailxyz.com"/>
    <x v="2"/>
    <x v="4"/>
    <x v="5"/>
    <x v="4"/>
    <x v="28"/>
    <n v="809056"/>
    <x v="0"/>
    <d v="2016-02-26T13:02:00"/>
    <d v="2016-02-26T00:00:00"/>
    <d v="2016-02-26T00:00:00"/>
    <x v="332"/>
    <x v="173"/>
    <n v="809056"/>
    <s v="null"/>
  </r>
  <r>
    <n v="809056"/>
    <s v="Randy "/>
    <s v="Mina"/>
    <s v="Randy 395@mailxyz.com"/>
    <x v="2"/>
    <x v="4"/>
    <x v="5"/>
    <x v="4"/>
    <x v="28"/>
    <n v="809056"/>
    <x v="6"/>
    <d v="2016-02-15T17:50:00"/>
    <d v="2016-02-15T00:00:00"/>
    <d v="2016-02-15T00:00:00"/>
    <x v="404"/>
    <x v="314"/>
    <n v="809056"/>
    <s v="null"/>
  </r>
  <r>
    <n v="809056"/>
    <s v="Randy "/>
    <s v="Mina"/>
    <s v="Randy 395@mailxyz.com"/>
    <x v="2"/>
    <x v="4"/>
    <x v="5"/>
    <x v="4"/>
    <x v="28"/>
    <n v="809056"/>
    <x v="8"/>
    <d v="2016-02-20T11:29:00"/>
    <d v="2016-02-20T00:00:00"/>
    <d v="2016-02-20T00:00:00"/>
    <x v="405"/>
    <x v="277"/>
    <n v="809056"/>
    <s v="null"/>
  </r>
  <r>
    <n v="809056"/>
    <s v="Randy "/>
    <s v="Mina"/>
    <s v="Randy 395@mailxyz.com"/>
    <x v="2"/>
    <x v="4"/>
    <x v="5"/>
    <x v="4"/>
    <x v="28"/>
    <n v="809056"/>
    <x v="5"/>
    <d v="2016-02-20T11:31:00"/>
    <d v="2016-02-20T00:00:00"/>
    <d v="2016-02-20T00:00:00"/>
    <x v="406"/>
    <x v="33"/>
    <n v="809056"/>
    <s v="null"/>
  </r>
  <r>
    <n v="809056"/>
    <s v="Randy "/>
    <s v="Mina"/>
    <s v="Randy 395@mailxyz.com"/>
    <x v="2"/>
    <x v="4"/>
    <x v="5"/>
    <x v="4"/>
    <x v="28"/>
    <n v="809056"/>
    <x v="3"/>
    <d v="2016-02-14T13:27:00"/>
    <d v="2016-02-14T00:00:00"/>
    <d v="2016-02-14T00:00:00"/>
    <x v="407"/>
    <x v="315"/>
    <n v="809056"/>
    <s v="null"/>
  </r>
  <r>
    <n v="809056"/>
    <s v="Randy "/>
    <s v="Mina"/>
    <s v="Randy 395@mailxyz.com"/>
    <x v="2"/>
    <x v="4"/>
    <x v="5"/>
    <x v="4"/>
    <x v="28"/>
    <n v="809056"/>
    <x v="8"/>
    <d v="2016-02-21T17:17:00"/>
    <d v="2016-02-21T00:00:00"/>
    <d v="2016-02-21T00:00:00"/>
    <x v="74"/>
    <x v="260"/>
    <n v="809056"/>
    <s v="null"/>
  </r>
  <r>
    <n v="809056"/>
    <s v="Randy "/>
    <s v="Mina"/>
    <s v="Randy 395@mailxyz.com"/>
    <x v="2"/>
    <x v="4"/>
    <x v="5"/>
    <x v="4"/>
    <x v="28"/>
    <n v="809056"/>
    <x v="10"/>
    <d v="2016-02-02T20:18:00"/>
    <d v="2016-02-02T00:00:00"/>
    <d v="2016-02-02T00:00:00"/>
    <x v="31"/>
    <x v="143"/>
    <n v="809056"/>
    <s v="null"/>
  </r>
  <r>
    <n v="809056"/>
    <s v="Randy "/>
    <s v="Mina"/>
    <s v="Randy 395@mailxyz.com"/>
    <x v="2"/>
    <x v="4"/>
    <x v="5"/>
    <x v="4"/>
    <x v="28"/>
    <n v="809056"/>
    <x v="0"/>
    <d v="2016-02-25T09:45:00"/>
    <d v="2016-02-25T00:00:00"/>
    <d v="2016-02-25T00:00:00"/>
    <x v="408"/>
    <x v="316"/>
    <n v="809056"/>
    <s v="null"/>
  </r>
  <r>
    <n v="809056"/>
    <s v="Randy "/>
    <s v="Mina"/>
    <s v="Randy 395@mailxyz.com"/>
    <x v="2"/>
    <x v="4"/>
    <x v="5"/>
    <x v="4"/>
    <x v="28"/>
    <n v="809056"/>
    <x v="8"/>
    <d v="2016-03-08T10:42:00"/>
    <d v="2016-03-08T00:00:00"/>
    <d v="2016-03-08T00:00:00"/>
    <x v="58"/>
    <x v="317"/>
    <n v="809056"/>
    <s v="null"/>
  </r>
  <r>
    <n v="809056"/>
    <s v="Randy "/>
    <s v="Mina"/>
    <s v="Randy 395@mailxyz.com"/>
    <x v="2"/>
    <x v="4"/>
    <x v="5"/>
    <x v="4"/>
    <x v="28"/>
    <n v="809056"/>
    <x v="8"/>
    <d v="2016-01-01T21:19:00"/>
    <d v="2016-01-01T00:00:00"/>
    <d v="2016-01-01T00:00:00"/>
    <x v="49"/>
    <x v="94"/>
    <n v="809056"/>
    <s v="null"/>
  </r>
  <r>
    <n v="809056"/>
    <s v="Randy "/>
    <s v="Mina"/>
    <s v="Randy 395@mailxyz.com"/>
    <x v="2"/>
    <x v="4"/>
    <x v="5"/>
    <x v="4"/>
    <x v="28"/>
    <n v="809056"/>
    <x v="8"/>
    <d v="2016-01-27T23:45:00"/>
    <d v="2016-01-27T00:00:00"/>
    <d v="2016-01-27T00:00:00"/>
    <x v="409"/>
    <x v="318"/>
    <n v="809056"/>
    <s v="null"/>
  </r>
  <r>
    <n v="809056"/>
    <s v="Randy "/>
    <s v="Mina"/>
    <s v="Randy 395@mailxyz.com"/>
    <x v="2"/>
    <x v="4"/>
    <x v="5"/>
    <x v="4"/>
    <x v="28"/>
    <n v="809056"/>
    <x v="4"/>
    <d v="2016-01-12T14:21:00"/>
    <d v="2016-01-12T00:00:00"/>
    <d v="2016-01-12T00:00:00"/>
    <x v="410"/>
    <x v="90"/>
    <n v="809056"/>
    <s v="null"/>
  </r>
  <r>
    <n v="809056"/>
    <s v="Randy "/>
    <s v="Mina"/>
    <s v="Randy 395@mailxyz.com"/>
    <x v="2"/>
    <x v="4"/>
    <x v="5"/>
    <x v="4"/>
    <x v="28"/>
    <n v="809056"/>
    <x v="8"/>
    <d v="2016-01-06T21:27:00"/>
    <d v="2016-01-06T00:00:00"/>
    <d v="2016-01-06T00:00:00"/>
    <x v="411"/>
    <x v="319"/>
    <n v="809056"/>
    <s v="null"/>
  </r>
  <r>
    <n v="809056"/>
    <s v="Randy "/>
    <s v="Mina"/>
    <s v="Randy 395@mailxyz.com"/>
    <x v="2"/>
    <x v="4"/>
    <x v="5"/>
    <x v="4"/>
    <x v="28"/>
    <n v="809056"/>
    <x v="9"/>
    <d v="2016-02-12T23:59:00"/>
    <d v="2016-02-12T00:00:00"/>
    <d v="2016-02-12T00:00:00"/>
    <x v="412"/>
    <x v="42"/>
    <n v="809056"/>
    <s v="null"/>
  </r>
  <r>
    <n v="809056"/>
    <s v="Randy "/>
    <s v="Mina"/>
    <s v="Randy 395@mailxyz.com"/>
    <x v="2"/>
    <x v="4"/>
    <x v="5"/>
    <x v="4"/>
    <x v="28"/>
    <n v="809056"/>
    <x v="2"/>
    <d v="2016-01-02T20:57:00"/>
    <d v="2016-01-02T00:00:00"/>
    <d v="2016-01-02T00:00:00"/>
    <x v="413"/>
    <x v="320"/>
    <n v="809056"/>
    <s v="null"/>
  </r>
  <r>
    <n v="809056"/>
    <s v="Randy "/>
    <s v="Mina"/>
    <s v="Randy 395@mailxyz.com"/>
    <x v="2"/>
    <x v="4"/>
    <x v="5"/>
    <x v="4"/>
    <x v="28"/>
    <n v="809056"/>
    <x v="8"/>
    <d v="2016-01-01T08:26:00"/>
    <d v="2016-01-01T00:00:00"/>
    <d v="2016-01-01T00:00:00"/>
    <x v="414"/>
    <x v="190"/>
    <n v="809056"/>
    <s v="null"/>
  </r>
  <r>
    <n v="809056"/>
    <s v="Randy "/>
    <s v="Mina"/>
    <s v="Randy 395@mailxyz.com"/>
    <x v="2"/>
    <x v="4"/>
    <x v="5"/>
    <x v="4"/>
    <x v="28"/>
    <n v="809056"/>
    <x v="8"/>
    <d v="2016-03-05T01:03:00"/>
    <d v="2016-03-05T00:00:00"/>
    <d v="2016-03-05T00:00:00"/>
    <x v="415"/>
    <x v="321"/>
    <n v="809056"/>
    <s v="null"/>
  </r>
  <r>
    <n v="809056"/>
    <s v="Randy "/>
    <s v="Mina"/>
    <s v="Randy 395@mailxyz.com"/>
    <x v="2"/>
    <x v="4"/>
    <x v="5"/>
    <x v="4"/>
    <x v="28"/>
    <n v="809056"/>
    <x v="0"/>
    <d v="2016-03-05T15:25:00"/>
    <d v="2016-03-05T00:00:00"/>
    <d v="2016-03-05T00:00:00"/>
    <x v="127"/>
    <x v="19"/>
    <n v="809056"/>
    <s v="null"/>
  </r>
  <r>
    <n v="809056"/>
    <s v="Randy "/>
    <s v="Mina"/>
    <s v="Randy 395@mailxyz.com"/>
    <x v="2"/>
    <x v="4"/>
    <x v="5"/>
    <x v="4"/>
    <x v="28"/>
    <n v="809056"/>
    <x v="16"/>
    <d v="2016-02-19T00:58:00"/>
    <d v="2016-02-19T00:00:00"/>
    <d v="2016-02-19T00:00:00"/>
    <x v="416"/>
    <x v="322"/>
    <n v="809056"/>
    <s v="null"/>
  </r>
  <r>
    <n v="809056"/>
    <s v="Randy "/>
    <s v="Mina"/>
    <s v="Randy 395@mailxyz.com"/>
    <x v="2"/>
    <x v="4"/>
    <x v="5"/>
    <x v="4"/>
    <x v="28"/>
    <n v="809056"/>
    <x v="3"/>
    <d v="2016-02-12T19:32:00"/>
    <d v="2016-02-12T00:00:00"/>
    <d v="2016-02-12T00:00:00"/>
    <x v="233"/>
    <x v="57"/>
    <n v="809056"/>
    <s v="null"/>
  </r>
  <r>
    <n v="809056"/>
    <s v="Randy "/>
    <s v="Mina"/>
    <s v="Randy 395@mailxyz.com"/>
    <x v="2"/>
    <x v="4"/>
    <x v="5"/>
    <x v="4"/>
    <x v="28"/>
    <n v="809056"/>
    <x v="2"/>
    <d v="2016-03-31T18:33:00"/>
    <d v="2016-03-31T00:00:00"/>
    <d v="2016-03-31T00:00:00"/>
    <x v="417"/>
    <x v="110"/>
    <n v="809056"/>
    <s v="null"/>
  </r>
  <r>
    <n v="809056"/>
    <s v="Randy "/>
    <s v="Mina"/>
    <s v="Randy 395@mailxyz.com"/>
    <x v="2"/>
    <x v="4"/>
    <x v="5"/>
    <x v="4"/>
    <x v="28"/>
    <n v="809056"/>
    <x v="3"/>
    <d v="2016-03-30T13:17:00"/>
    <d v="2016-03-30T00:00:00"/>
    <d v="2016-03-30T00:00:00"/>
    <x v="194"/>
    <x v="16"/>
    <n v="809056"/>
    <s v="null"/>
  </r>
  <r>
    <n v="809056"/>
    <s v="Randy "/>
    <s v="Mina"/>
    <s v="Randy 395@mailxyz.com"/>
    <x v="2"/>
    <x v="4"/>
    <x v="5"/>
    <x v="4"/>
    <x v="28"/>
    <n v="809056"/>
    <x v="13"/>
    <d v="2016-03-27T00:47:00"/>
    <d v="2016-03-27T00:00:00"/>
    <d v="2016-03-27T00:00:00"/>
    <x v="418"/>
    <x v="103"/>
    <n v="809056"/>
    <s v="null"/>
  </r>
  <r>
    <n v="809056"/>
    <s v="Randy "/>
    <s v="Mina"/>
    <s v="Randy 395@mailxyz.com"/>
    <x v="2"/>
    <x v="4"/>
    <x v="5"/>
    <x v="4"/>
    <x v="28"/>
    <n v="809056"/>
    <x v="0"/>
    <d v="2016-03-01T11:14:00"/>
    <d v="2016-03-01T00:00:00"/>
    <d v="2016-03-01T00:00:00"/>
    <x v="419"/>
    <x v="36"/>
    <n v="809056"/>
    <s v="null"/>
  </r>
  <r>
    <n v="809056"/>
    <s v="Randy "/>
    <s v="Mina"/>
    <s v="Randy 395@mailxyz.com"/>
    <x v="2"/>
    <x v="4"/>
    <x v="5"/>
    <x v="4"/>
    <x v="28"/>
    <n v="809056"/>
    <x v="0"/>
    <d v="2016-03-29T18:00:00"/>
    <d v="2016-03-29T00:00:00"/>
    <d v="2016-03-29T00:00:00"/>
    <x v="420"/>
    <x v="323"/>
    <n v="809056"/>
    <s v="null"/>
  </r>
  <r>
    <n v="809056"/>
    <s v="Randy "/>
    <s v="Mina"/>
    <s v="Randy 395@mailxyz.com"/>
    <x v="2"/>
    <x v="4"/>
    <x v="5"/>
    <x v="4"/>
    <x v="28"/>
    <n v="809056"/>
    <x v="12"/>
    <d v="2016-02-13T02:00:00"/>
    <d v="2016-02-13T00:00:00"/>
    <d v="2016-02-13T00:00:00"/>
    <x v="421"/>
    <x v="215"/>
    <n v="809056"/>
    <s v="null"/>
  </r>
  <r>
    <n v="703886"/>
    <s v="Wilburn "/>
    <s v="Pascarella"/>
    <s v="Wilburn 304@abcmail.com"/>
    <x v="2"/>
    <x v="5"/>
    <x v="47"/>
    <x v="5"/>
    <x v="37"/>
    <n v="703886"/>
    <x v="11"/>
    <d v="2016-03-24T00:00:00"/>
    <d v="2016-03-24T00:00:00"/>
    <d v="2016-03-24T00:00:00"/>
    <x v="422"/>
    <x v="324"/>
    <n v="703886"/>
    <s v="null"/>
  </r>
  <r>
    <n v="703886"/>
    <s v="Wilburn "/>
    <s v="Pascarella"/>
    <s v="Wilburn 304@abcmail.com"/>
    <x v="2"/>
    <x v="5"/>
    <x v="47"/>
    <x v="5"/>
    <x v="37"/>
    <n v="703886"/>
    <x v="0"/>
    <d v="2016-03-26T16:57:00"/>
    <d v="2016-03-26T00:00:00"/>
    <d v="2016-03-26T00:00:00"/>
    <x v="423"/>
    <x v="7"/>
    <n v="703886"/>
    <s v="null"/>
  </r>
  <r>
    <n v="720995"/>
    <s v="Emilie "/>
    <s v="Deblois"/>
    <s v="Emilie 234@abcmail.com"/>
    <x v="1"/>
    <x v="2"/>
    <x v="25"/>
    <x v="2"/>
    <x v="87"/>
    <n v="720995"/>
    <x v="8"/>
    <d v="2016-01-16T11:23:00"/>
    <d v="2016-01-16T00:00:00"/>
    <d v="2016-01-16T00:00:00"/>
    <x v="352"/>
    <x v="95"/>
    <n v="720995"/>
    <s v="null"/>
  </r>
  <r>
    <n v="724179"/>
    <s v="Desirae "/>
    <s v="Luthy"/>
    <s v="Desirae 292@gmail.com"/>
    <x v="1"/>
    <x v="2"/>
    <x v="3"/>
    <x v="2"/>
    <x v="88"/>
    <n v="724179"/>
    <x v="3"/>
    <d v="2016-01-20T20:49:00"/>
    <d v="2016-01-20T00:00:00"/>
    <d v="2016-01-20T00:00:00"/>
    <x v="145"/>
    <x v="325"/>
    <n v="724179"/>
    <s v="null"/>
  </r>
  <r>
    <n v="727203"/>
    <s v="Claud "/>
    <s v="Singer"/>
    <s v="Claud 341@yahoo.com"/>
    <x v="2"/>
    <x v="0"/>
    <x v="2"/>
    <x v="4"/>
    <x v="16"/>
    <n v="727203"/>
    <x v="2"/>
    <d v="2016-01-18T19:02:00"/>
    <d v="2016-01-18T00:00:00"/>
    <d v="2016-01-18T00:00:00"/>
    <x v="424"/>
    <x v="326"/>
    <n v="727203"/>
    <s v="null"/>
  </r>
  <r>
    <n v="730056"/>
    <s v="Claud "/>
    <s v="Woolard"/>
    <s v="Claud 344@abcmail.com"/>
    <x v="2"/>
    <x v="0"/>
    <x v="28"/>
    <x v="2"/>
    <x v="16"/>
    <n v="730056"/>
    <x v="4"/>
    <d v="2016-01-22T02:15:00"/>
    <d v="2016-01-22T00:00:00"/>
    <d v="2016-01-22T00:00:00"/>
    <x v="425"/>
    <x v="37"/>
    <n v="730056"/>
    <s v="null"/>
  </r>
  <r>
    <n v="732996"/>
    <s v="Irving "/>
    <s v="Vital"/>
    <s v="Irving 51@yahoo.com"/>
    <x v="2"/>
    <x v="5"/>
    <x v="40"/>
    <x v="2"/>
    <x v="77"/>
    <n v="732996"/>
    <x v="4"/>
    <d v="2016-01-20T08:27:00"/>
    <d v="2016-01-20T00:00:00"/>
    <d v="2016-01-20T00:00:00"/>
    <x v="20"/>
    <x v="105"/>
    <n v="732996"/>
    <s v="null"/>
  </r>
  <r>
    <n v="732996"/>
    <s v="Irving "/>
    <s v="Vital"/>
    <s v="Irving 51@yahoo.com"/>
    <x v="2"/>
    <x v="5"/>
    <x v="40"/>
    <x v="2"/>
    <x v="77"/>
    <n v="732996"/>
    <x v="4"/>
    <d v="2016-01-20T10:53:00"/>
    <d v="2016-01-20T00:00:00"/>
    <d v="2016-01-20T00:00:00"/>
    <x v="426"/>
    <x v="25"/>
    <n v="732996"/>
    <s v="null"/>
  </r>
  <r>
    <n v="779505"/>
    <s v="Bernardo "/>
    <s v="Pascarella"/>
    <s v="Bernardo 322@gmail.com"/>
    <x v="2"/>
    <x v="2"/>
    <x v="9"/>
    <x v="2"/>
    <x v="89"/>
    <n v="779505"/>
    <x v="3"/>
    <d v="2016-02-06T20:53:00"/>
    <d v="2016-02-06T00:00:00"/>
    <d v="2016-02-06T00:00:00"/>
    <x v="427"/>
    <x v="327"/>
    <n v="779505"/>
    <s v="null"/>
  </r>
  <r>
    <n v="733347"/>
    <s v="Lucas "/>
    <s v="Creager"/>
    <s v="Lucas 234@abcmail.com"/>
    <x v="2"/>
    <x v="0"/>
    <x v="6"/>
    <x v="9"/>
    <x v="32"/>
    <n v="733347"/>
    <x v="3"/>
    <d v="2016-01-23T20:12:00"/>
    <d v="2016-01-23T00:00:00"/>
    <d v="2016-01-23T00:00:00"/>
    <x v="428"/>
    <x v="328"/>
    <n v="733347"/>
    <s v="null"/>
  </r>
  <r>
    <n v="733347"/>
    <s v="Lucas "/>
    <s v="Creager"/>
    <s v="Lucas 234@abcmail.com"/>
    <x v="2"/>
    <x v="0"/>
    <x v="6"/>
    <x v="9"/>
    <x v="32"/>
    <n v="733347"/>
    <x v="10"/>
    <d v="2016-01-24T16:31:00"/>
    <d v="2016-01-24T00:00:00"/>
    <d v="2016-01-24T00:00:00"/>
    <x v="403"/>
    <x v="38"/>
    <n v="733347"/>
    <s v="null"/>
  </r>
  <r>
    <n v="733347"/>
    <s v="Lucas "/>
    <s v="Creager"/>
    <s v="Lucas 234@abcmail.com"/>
    <x v="2"/>
    <x v="0"/>
    <x v="6"/>
    <x v="9"/>
    <x v="32"/>
    <n v="733347"/>
    <x v="3"/>
    <d v="2016-01-23T19:29:00"/>
    <d v="2016-01-23T00:00:00"/>
    <d v="2016-01-23T00:00:00"/>
    <x v="115"/>
    <x v="101"/>
    <n v="733347"/>
    <s v="null"/>
  </r>
  <r>
    <n v="733756"/>
    <s v="Winona "/>
    <s v="Wigfall"/>
    <s v="Winona 414@abcmail.com"/>
    <x v="1"/>
    <x v="5"/>
    <x v="30"/>
    <x v="3"/>
    <x v="90"/>
    <n v="733756"/>
    <x v="2"/>
    <d v="2016-01-23T18:49:00"/>
    <d v="2016-01-23T00:00:00"/>
    <d v="2016-01-23T00:00:00"/>
    <x v="429"/>
    <x v="112"/>
    <n v="733756"/>
    <s v="null"/>
  </r>
  <r>
    <n v="764451"/>
    <s v="Epifania "/>
    <s v="Crotty"/>
    <s v="Epifania 353@mail.com"/>
    <x v="1"/>
    <x v="5"/>
    <x v="30"/>
    <x v="2"/>
    <x v="91"/>
    <n v="764451"/>
    <x v="8"/>
    <d v="2016-01-11T15:11:00"/>
    <d v="2016-01-11T00:00:00"/>
    <d v="2016-01-11T00:00:00"/>
    <x v="430"/>
    <x v="329"/>
    <n v="764451"/>
    <s v="null"/>
  </r>
  <r>
    <n v="793693"/>
    <s v="Charlie "/>
    <s v="Pool"/>
    <s v="Charlie 362@gmail.com"/>
    <x v="2"/>
    <x v="2"/>
    <x v="17"/>
    <x v="2"/>
    <x v="52"/>
    <n v="793693"/>
    <x v="1"/>
    <d v="2016-02-15T08:37:00"/>
    <d v="2016-02-15T00:00:00"/>
    <d v="2016-02-15T00:00:00"/>
    <x v="431"/>
    <x v="4"/>
    <n v="793693"/>
    <s v="null"/>
  </r>
  <r>
    <n v="793693"/>
    <s v="Charlie "/>
    <s v="Pool"/>
    <s v="Charlie 362@gmail.com"/>
    <x v="2"/>
    <x v="2"/>
    <x v="17"/>
    <x v="2"/>
    <x v="52"/>
    <n v="793693"/>
    <x v="10"/>
    <d v="2016-02-15T09:11:00"/>
    <d v="2016-02-15T00:00:00"/>
    <d v="2016-02-15T00:00:00"/>
    <x v="432"/>
    <x v="10"/>
    <n v="793693"/>
    <s v="null"/>
  </r>
  <r>
    <n v="793693"/>
    <s v="Charlie "/>
    <s v="Pool"/>
    <s v="Charlie 362@gmail.com"/>
    <x v="2"/>
    <x v="2"/>
    <x v="17"/>
    <x v="2"/>
    <x v="52"/>
    <n v="793693"/>
    <x v="3"/>
    <d v="2016-02-19T10:42:00"/>
    <d v="2016-02-19T00:00:00"/>
    <d v="2016-02-19T00:00:00"/>
    <x v="58"/>
    <x v="10"/>
    <n v="793693"/>
    <s v="null"/>
  </r>
  <r>
    <n v="793693"/>
    <s v="Charlie "/>
    <s v="Pool"/>
    <s v="Charlie 362@gmail.com"/>
    <x v="2"/>
    <x v="2"/>
    <x v="17"/>
    <x v="2"/>
    <x v="52"/>
    <n v="793693"/>
    <x v="10"/>
    <d v="2016-02-14T10:18:00"/>
    <d v="2016-02-14T00:00:00"/>
    <d v="2016-02-14T00:00:00"/>
    <x v="433"/>
    <x v="129"/>
    <n v="793693"/>
    <s v="null"/>
  </r>
  <r>
    <n v="739893"/>
    <s v="Yong "/>
    <s v="Mccollum"/>
    <s v="Yong 481@yahoo.com"/>
    <x v="2"/>
    <x v="2"/>
    <x v="2"/>
    <x v="6"/>
    <x v="3"/>
    <n v="739893"/>
    <x v="10"/>
    <d v="2016-01-15T22:05:00"/>
    <d v="2016-01-15T00:00:00"/>
    <d v="2016-01-15T00:00:00"/>
    <x v="434"/>
    <x v="330"/>
    <n v="739893"/>
    <s v="null"/>
  </r>
  <r>
    <n v="745315"/>
    <s v="Lloyd "/>
    <s v="Condie"/>
    <s v="Lloyd 73@mail.com"/>
    <x v="2"/>
    <x v="1"/>
    <x v="22"/>
    <x v="6"/>
    <x v="47"/>
    <n v="745315"/>
    <x v="5"/>
    <d v="2016-01-16T19:16:00"/>
    <d v="2016-01-16T00:00:00"/>
    <d v="2016-01-16T00:00:00"/>
    <x v="70"/>
    <x v="293"/>
    <n v="745315"/>
    <s v="null"/>
  </r>
  <r>
    <n v="806431"/>
    <s v="Filiberto "/>
    <s v="Leicht"/>
    <s v="Filiberto 43@mail.com"/>
    <x v="2"/>
    <x v="2"/>
    <x v="40"/>
    <x v="1"/>
    <x v="7"/>
    <n v="806431"/>
    <x v="5"/>
    <d v="2016-02-02T20:34:00"/>
    <d v="2016-02-02T00:00:00"/>
    <d v="2016-02-02T00:00:00"/>
    <x v="277"/>
    <x v="250"/>
    <n v="806431"/>
    <s v="null"/>
  </r>
  <r>
    <n v="771924"/>
    <s v="Yolonda "/>
    <s v="Pascarella"/>
    <s v="Yolonda 203@mail.com"/>
    <x v="1"/>
    <x v="2"/>
    <x v="22"/>
    <x v="2"/>
    <x v="92"/>
    <n v="771924"/>
    <x v="10"/>
    <d v="2016-02-09T11:55:00"/>
    <d v="2016-02-09T00:00:00"/>
    <d v="2016-02-09T00:00:00"/>
    <x v="393"/>
    <x v="269"/>
    <n v="771924"/>
    <s v="null"/>
  </r>
  <r>
    <n v="749945"/>
    <s v="Stacy "/>
    <s v="Restivo"/>
    <s v="Stacy 271@yahoo.com"/>
    <x v="2"/>
    <x v="4"/>
    <x v="32"/>
    <x v="4"/>
    <x v="8"/>
    <n v="749945"/>
    <x v="3"/>
    <d v="2016-01-28T10:12:00"/>
    <d v="2016-01-28T00:00:00"/>
    <d v="2016-01-28T00:00:00"/>
    <x v="435"/>
    <x v="12"/>
    <n v="749945"/>
    <s v="null"/>
  </r>
  <r>
    <n v="749945"/>
    <s v="Stacy "/>
    <s v="Restivo"/>
    <s v="Stacy 271@yahoo.com"/>
    <x v="2"/>
    <x v="4"/>
    <x v="32"/>
    <x v="4"/>
    <x v="8"/>
    <n v="749945"/>
    <x v="8"/>
    <d v="2016-01-28T23:27:00"/>
    <d v="2016-01-28T00:00:00"/>
    <d v="2016-01-28T00:00:00"/>
    <x v="338"/>
    <x v="331"/>
    <n v="749945"/>
    <s v="null"/>
  </r>
  <r>
    <n v="789265"/>
    <s v="Samuel "/>
    <s v="Mccown"/>
    <s v="Samuel 261@yahoo.com"/>
    <x v="2"/>
    <x v="1"/>
    <x v="13"/>
    <x v="9"/>
    <x v="72"/>
    <n v="789265"/>
    <x v="2"/>
    <d v="2016-02-09T01:09:00"/>
    <d v="2016-02-09T00:00:00"/>
    <d v="2016-02-09T00:00:00"/>
    <x v="265"/>
    <x v="332"/>
    <n v="789265"/>
    <s v="null"/>
  </r>
  <r>
    <n v="750489"/>
    <s v="Garry "/>
    <s v="Roquemore"/>
    <s v="Garry 285@mailxyz.com"/>
    <x v="2"/>
    <x v="2"/>
    <x v="15"/>
    <x v="5"/>
    <x v="2"/>
    <n v="750489"/>
    <x v="4"/>
    <d v="2016-01-29T21:26:00"/>
    <d v="2016-01-29T00:00:00"/>
    <d v="2016-01-29T00:00:00"/>
    <x v="117"/>
    <x v="159"/>
    <n v="750489"/>
    <s v="null"/>
  </r>
  <r>
    <n v="809063"/>
    <s v="Randy "/>
    <s v="Restivo"/>
    <s v="Randy 391@yahoo.com"/>
    <x v="2"/>
    <x v="2"/>
    <x v="13"/>
    <x v="2"/>
    <x v="28"/>
    <n v="809063"/>
    <x v="8"/>
    <d v="2016-02-20T14:58:00"/>
    <d v="2016-02-20T00:00:00"/>
    <d v="2016-02-20T00:00:00"/>
    <x v="253"/>
    <x v="131"/>
    <n v="809063"/>
    <s v="null"/>
  </r>
  <r>
    <n v="809063"/>
    <s v="Randy "/>
    <s v="Restivo"/>
    <s v="Randy 391@yahoo.com"/>
    <x v="2"/>
    <x v="2"/>
    <x v="13"/>
    <x v="2"/>
    <x v="28"/>
    <n v="809063"/>
    <x v="5"/>
    <d v="2016-02-20T13:15:00"/>
    <d v="2016-02-20T00:00:00"/>
    <d v="2016-02-20T00:00:00"/>
    <x v="436"/>
    <x v="38"/>
    <n v="809063"/>
    <s v="null"/>
  </r>
  <r>
    <n v="809063"/>
    <s v="Randy "/>
    <s v="Restivo"/>
    <s v="Randy 391@yahoo.com"/>
    <x v="2"/>
    <x v="2"/>
    <x v="13"/>
    <x v="2"/>
    <x v="28"/>
    <n v="809063"/>
    <x v="5"/>
    <d v="2016-02-24T09:00:00"/>
    <d v="2016-02-24T00:00:00"/>
    <d v="2016-02-24T00:00:00"/>
    <x v="437"/>
    <x v="333"/>
    <n v="809063"/>
    <s v="null"/>
  </r>
  <r>
    <n v="786181"/>
    <s v="Art "/>
    <s v="Wigfall"/>
    <s v="Art 405@mailxyz.com"/>
    <x v="2"/>
    <x v="2"/>
    <x v="30"/>
    <x v="2"/>
    <x v="9"/>
    <n v="786181"/>
    <x v="5"/>
    <d v="2016-03-05T21:14:00"/>
    <d v="2016-03-05T00:00:00"/>
    <d v="2016-03-05T00:00:00"/>
    <x v="438"/>
    <x v="190"/>
    <n v="786181"/>
    <s v="null"/>
  </r>
  <r>
    <n v="793697"/>
    <s v="Loyd "/>
    <s v="Woolard"/>
    <s v="Loyd 492@gmail.com"/>
    <x v="2"/>
    <x v="0"/>
    <x v="32"/>
    <x v="3"/>
    <x v="24"/>
    <n v="793697"/>
    <x v="5"/>
    <d v="2016-02-25T16:08:00"/>
    <d v="2016-02-25T00:00:00"/>
    <d v="2016-02-25T00:00:00"/>
    <x v="246"/>
    <x v="270"/>
    <n v="793697"/>
    <s v="null"/>
  </r>
  <r>
    <n v="763446"/>
    <s v="Romeo "/>
    <s v="Pool"/>
    <s v="Romeo 371@yahoo.com"/>
    <x v="2"/>
    <x v="2"/>
    <x v="26"/>
    <x v="8"/>
    <x v="45"/>
    <n v="763446"/>
    <x v="4"/>
    <d v="2016-02-09T22:27:00"/>
    <d v="2016-02-09T00:00:00"/>
    <d v="2016-02-09T00:00:00"/>
    <x v="439"/>
    <x v="129"/>
    <n v="763446"/>
    <s v="null"/>
  </r>
  <r>
    <n v="763525"/>
    <s v="Cory "/>
    <s v="Holt"/>
    <s v="Cory 102@gmail.com"/>
    <x v="2"/>
    <x v="2"/>
    <x v="4"/>
    <x v="2"/>
    <x v="4"/>
    <n v="763525"/>
    <x v="5"/>
    <d v="2016-03-16T18:39:00"/>
    <d v="2016-03-16T00:00:00"/>
    <d v="2016-03-16T00:00:00"/>
    <x v="440"/>
    <x v="131"/>
    <n v="763525"/>
    <s v="null"/>
  </r>
  <r>
    <n v="771927"/>
    <s v="Lillie "/>
    <s v="Langenfeld"/>
    <s v="Lillie 431@yahoo.com"/>
    <x v="1"/>
    <x v="0"/>
    <x v="15"/>
    <x v="4"/>
    <x v="93"/>
    <n v="771927"/>
    <x v="4"/>
    <d v="2016-01-31T11:08:00"/>
    <d v="2016-01-31T00:00:00"/>
    <d v="2016-01-31T00:00:00"/>
    <x v="283"/>
    <x v="334"/>
    <n v="771927"/>
    <s v="null"/>
  </r>
  <r>
    <n v="771927"/>
    <s v="Lillie "/>
    <s v="Langenfeld"/>
    <s v="Lillie 431@yahoo.com"/>
    <x v="1"/>
    <x v="0"/>
    <x v="15"/>
    <x v="4"/>
    <x v="93"/>
    <n v="771927"/>
    <x v="12"/>
    <d v="2016-01-29T18:32:00"/>
    <d v="2016-01-29T00:00:00"/>
    <d v="2016-01-29T00:00:00"/>
    <x v="441"/>
    <x v="90"/>
    <n v="771927"/>
    <s v="null"/>
  </r>
  <r>
    <n v="771927"/>
    <s v="Lillie "/>
    <s v="Langenfeld"/>
    <s v="Lillie 431@yahoo.com"/>
    <x v="1"/>
    <x v="0"/>
    <x v="15"/>
    <x v="4"/>
    <x v="93"/>
    <n v="771927"/>
    <x v="5"/>
    <d v="2016-01-28T15:00:00"/>
    <d v="2016-01-28T00:00:00"/>
    <d v="2016-01-28T00:00:00"/>
    <x v="442"/>
    <x v="335"/>
    <n v="771927"/>
    <s v="null"/>
  </r>
  <r>
    <n v="771927"/>
    <s v="Lillie "/>
    <s v="Langenfeld"/>
    <s v="Lillie 431@yahoo.com"/>
    <x v="1"/>
    <x v="0"/>
    <x v="15"/>
    <x v="4"/>
    <x v="93"/>
    <n v="771927"/>
    <x v="4"/>
    <d v="2016-02-01T10:12:00"/>
    <d v="2016-02-01T00:00:00"/>
    <d v="2016-02-01T00:00:00"/>
    <x v="435"/>
    <x v="336"/>
    <n v="771927"/>
    <s v="null"/>
  </r>
  <r>
    <n v="771927"/>
    <s v="Lillie "/>
    <s v="Langenfeld"/>
    <s v="Lillie 431@yahoo.com"/>
    <x v="1"/>
    <x v="0"/>
    <x v="15"/>
    <x v="4"/>
    <x v="93"/>
    <n v="771927"/>
    <x v="4"/>
    <d v="2016-01-27T16:14:00"/>
    <d v="2016-01-27T00:00:00"/>
    <d v="2016-01-27T00:00:00"/>
    <x v="208"/>
    <x v="271"/>
    <n v="771927"/>
    <s v="null"/>
  </r>
  <r>
    <n v="771927"/>
    <s v="Lillie "/>
    <s v="Langenfeld"/>
    <s v="Lillie 431@yahoo.com"/>
    <x v="1"/>
    <x v="0"/>
    <x v="15"/>
    <x v="4"/>
    <x v="93"/>
    <n v="771927"/>
    <x v="5"/>
    <d v="2016-01-27T07:55:00"/>
    <d v="2016-01-27T00:00:00"/>
    <d v="2016-01-27T00:00:00"/>
    <x v="443"/>
    <x v="54"/>
    <n v="771927"/>
    <s v="null"/>
  </r>
  <r>
    <n v="771927"/>
    <s v="Lillie "/>
    <s v="Langenfeld"/>
    <s v="Lillie 431@yahoo.com"/>
    <x v="1"/>
    <x v="0"/>
    <x v="15"/>
    <x v="4"/>
    <x v="93"/>
    <n v="771927"/>
    <x v="9"/>
    <d v="2016-01-30T18:39:00"/>
    <d v="2016-01-30T00:00:00"/>
    <d v="2016-01-30T00:00:00"/>
    <x v="440"/>
    <x v="65"/>
    <n v="771927"/>
    <s v="null"/>
  </r>
  <r>
    <n v="764468"/>
    <s v="Earl "/>
    <s v="Pool"/>
    <s v="Earl 421@yahoo.com"/>
    <x v="2"/>
    <x v="2"/>
    <x v="6"/>
    <x v="2"/>
    <x v="81"/>
    <n v="764468"/>
    <x v="3"/>
    <d v="2016-02-02T08:59:00"/>
    <d v="2016-02-02T00:00:00"/>
    <d v="2016-02-02T00:00:00"/>
    <x v="113"/>
    <x v="234"/>
    <n v="764468"/>
    <s v="null"/>
  </r>
  <r>
    <n v="764531"/>
    <s v="Emerson "/>
    <s v="Caves"/>
    <s v="Emerson 245@mailxyz.com"/>
    <x v="2"/>
    <x v="4"/>
    <x v="31"/>
    <x v="6"/>
    <x v="39"/>
    <n v="764531"/>
    <x v="4"/>
    <d v="2016-01-19T21:20:00"/>
    <d v="2016-01-19T00:00:00"/>
    <d v="2016-01-19T00:00:00"/>
    <x v="209"/>
    <x v="8"/>
    <n v="764531"/>
    <s v="null"/>
  </r>
  <r>
    <n v="764531"/>
    <s v="Emerson "/>
    <s v="Caves"/>
    <s v="Emerson 245@mailxyz.com"/>
    <x v="2"/>
    <x v="4"/>
    <x v="31"/>
    <x v="6"/>
    <x v="39"/>
    <n v="764531"/>
    <x v="6"/>
    <d v="2016-01-19T08:38:00"/>
    <d v="2016-01-19T00:00:00"/>
    <d v="2016-01-19T00:00:00"/>
    <x v="22"/>
    <x v="337"/>
    <n v="764531"/>
    <s v="null"/>
  </r>
  <r>
    <n v="764656"/>
    <s v="Stefan "/>
    <s v="Fudge"/>
    <s v="Stefan 463@mail.com"/>
    <x v="2"/>
    <x v="5"/>
    <x v="6"/>
    <x v="4"/>
    <x v="26"/>
    <n v="764656"/>
    <x v="4"/>
    <d v="2016-01-05T11:03:00"/>
    <d v="2016-01-05T00:00:00"/>
    <d v="2016-01-05T00:00:00"/>
    <x v="444"/>
    <x v="338"/>
    <n v="764656"/>
    <s v="null"/>
  </r>
  <r>
    <n v="809071"/>
    <s v="Hyman "/>
    <s v="Hoadley"/>
    <s v="Hyman 85@mailxyz.com"/>
    <x v="2"/>
    <x v="2"/>
    <x v="12"/>
    <x v="2"/>
    <x v="62"/>
    <n v="809071"/>
    <x v="16"/>
    <d v="2016-03-05T08:19:00"/>
    <d v="2016-03-05T00:00:00"/>
    <d v="2016-03-05T00:00:00"/>
    <x v="445"/>
    <x v="339"/>
    <n v="809071"/>
    <s v="null"/>
  </r>
  <r>
    <n v="809072"/>
    <s v="Raymundo "/>
    <s v="Reisinger"/>
    <s v="Raymundo 432@gmail.com"/>
    <x v="2"/>
    <x v="2"/>
    <x v="13"/>
    <x v="3"/>
    <x v="18"/>
    <n v="809072"/>
    <x v="2"/>
    <d v="2016-02-22T10:15:00"/>
    <d v="2016-02-22T00:00:00"/>
    <d v="2016-02-22T00:00:00"/>
    <x v="359"/>
    <x v="340"/>
    <n v="809072"/>
    <s v="null"/>
  </r>
  <r>
    <n v="809072"/>
    <s v="Raymundo "/>
    <s v="Reisinger"/>
    <s v="Raymundo 432@gmail.com"/>
    <x v="2"/>
    <x v="2"/>
    <x v="13"/>
    <x v="3"/>
    <x v="18"/>
    <n v="809072"/>
    <x v="2"/>
    <d v="2016-02-21T17:47:00"/>
    <d v="2016-02-21T00:00:00"/>
    <d v="2016-02-21T00:00:00"/>
    <x v="54"/>
    <x v="89"/>
    <n v="809072"/>
    <s v="null"/>
  </r>
  <r>
    <n v="809072"/>
    <s v="Raymundo "/>
    <s v="Reisinger"/>
    <s v="Raymundo 432@gmail.com"/>
    <x v="2"/>
    <x v="2"/>
    <x v="13"/>
    <x v="3"/>
    <x v="18"/>
    <n v="809072"/>
    <x v="3"/>
    <d v="2016-02-12T08:24:00"/>
    <d v="2016-02-12T00:00:00"/>
    <d v="2016-02-12T00:00:00"/>
    <x v="446"/>
    <x v="341"/>
    <n v="809072"/>
    <s v="null"/>
  </r>
  <r>
    <n v="809076"/>
    <s v="Filiberto "/>
    <s v="Zweifel"/>
    <s v="Filiberto 44@abcmail.com"/>
    <x v="2"/>
    <x v="4"/>
    <x v="30"/>
    <x v="4"/>
    <x v="7"/>
    <n v="809076"/>
    <x v="9"/>
    <d v="2016-02-20T00:48:00"/>
    <d v="2016-02-20T00:00:00"/>
    <d v="2016-02-20T00:00:00"/>
    <x v="447"/>
    <x v="179"/>
    <n v="809076"/>
    <s v="null"/>
  </r>
  <r>
    <n v="809076"/>
    <s v="Filiberto "/>
    <s v="Zweifel"/>
    <s v="Filiberto 44@abcmail.com"/>
    <x v="2"/>
    <x v="4"/>
    <x v="30"/>
    <x v="4"/>
    <x v="7"/>
    <n v="809076"/>
    <x v="3"/>
    <d v="2016-02-19T18:47:00"/>
    <d v="2016-02-19T00:00:00"/>
    <d v="2016-02-19T00:00:00"/>
    <x v="448"/>
    <x v="118"/>
    <n v="809076"/>
    <s v="null"/>
  </r>
  <r>
    <n v="809076"/>
    <s v="Filiberto "/>
    <s v="Zweifel"/>
    <s v="Filiberto 44@abcmail.com"/>
    <x v="2"/>
    <x v="4"/>
    <x v="30"/>
    <x v="4"/>
    <x v="7"/>
    <n v="809076"/>
    <x v="0"/>
    <d v="2016-02-20T09:16:00"/>
    <d v="2016-02-20T00:00:00"/>
    <d v="2016-02-20T00:00:00"/>
    <x v="449"/>
    <x v="9"/>
    <n v="809076"/>
    <s v="null"/>
  </r>
  <r>
    <n v="809076"/>
    <s v="Filiberto "/>
    <s v="Zweifel"/>
    <s v="Filiberto 44@abcmail.com"/>
    <x v="2"/>
    <x v="4"/>
    <x v="30"/>
    <x v="4"/>
    <x v="7"/>
    <n v="809076"/>
    <x v="4"/>
    <d v="2016-02-20T09:20:00"/>
    <d v="2016-02-20T00:00:00"/>
    <d v="2016-02-20T00:00:00"/>
    <x v="19"/>
    <x v="293"/>
    <n v="809076"/>
    <s v="null"/>
  </r>
  <r>
    <n v="809076"/>
    <s v="Filiberto "/>
    <s v="Zweifel"/>
    <s v="Filiberto 44@abcmail.com"/>
    <x v="2"/>
    <x v="4"/>
    <x v="30"/>
    <x v="4"/>
    <x v="7"/>
    <n v="809076"/>
    <x v="3"/>
    <d v="2016-02-19T07:55:00"/>
    <d v="2016-02-19T00:00:00"/>
    <d v="2016-02-19T00:00:00"/>
    <x v="443"/>
    <x v="342"/>
    <n v="809076"/>
    <s v="null"/>
  </r>
  <r>
    <n v="809076"/>
    <s v="Filiberto "/>
    <s v="Zweifel"/>
    <s v="Filiberto 44@abcmail.com"/>
    <x v="2"/>
    <x v="4"/>
    <x v="30"/>
    <x v="4"/>
    <x v="7"/>
    <n v="809076"/>
    <x v="4"/>
    <d v="2016-02-19T08:22:00"/>
    <d v="2016-02-19T00:00:00"/>
    <d v="2016-02-19T00:00:00"/>
    <x v="450"/>
    <x v="93"/>
    <n v="809076"/>
    <s v="null"/>
  </r>
  <r>
    <n v="809076"/>
    <s v="Filiberto "/>
    <s v="Zweifel"/>
    <s v="Filiberto 44@abcmail.com"/>
    <x v="2"/>
    <x v="4"/>
    <x v="30"/>
    <x v="4"/>
    <x v="7"/>
    <n v="809076"/>
    <x v="3"/>
    <d v="2016-03-08T14:30:00"/>
    <d v="2016-03-08T00:00:00"/>
    <d v="2016-03-08T00:00:00"/>
    <x v="451"/>
    <x v="343"/>
    <n v="809076"/>
    <s v="null"/>
  </r>
  <r>
    <n v="809076"/>
    <s v="Filiberto "/>
    <s v="Zweifel"/>
    <s v="Filiberto 44@abcmail.com"/>
    <x v="2"/>
    <x v="4"/>
    <x v="30"/>
    <x v="4"/>
    <x v="7"/>
    <n v="809076"/>
    <x v="4"/>
    <d v="2016-03-18T13:25:00"/>
    <d v="2016-03-18T00:00:00"/>
    <d v="2016-03-18T00:00:00"/>
    <x v="93"/>
    <x v="344"/>
    <n v="809076"/>
    <s v="null"/>
  </r>
  <r>
    <n v="809076"/>
    <s v="Filiberto "/>
    <s v="Zweifel"/>
    <s v="Filiberto 44@abcmail.com"/>
    <x v="2"/>
    <x v="4"/>
    <x v="30"/>
    <x v="4"/>
    <x v="7"/>
    <n v="809076"/>
    <x v="10"/>
    <d v="2016-03-04T23:10:00"/>
    <d v="2016-03-04T00:00:00"/>
    <d v="2016-03-04T00:00:00"/>
    <x v="452"/>
    <x v="333"/>
    <n v="809076"/>
    <s v="null"/>
  </r>
  <r>
    <n v="809076"/>
    <s v="Filiberto "/>
    <s v="Zweifel"/>
    <s v="Filiberto 44@abcmail.com"/>
    <x v="2"/>
    <x v="4"/>
    <x v="30"/>
    <x v="4"/>
    <x v="7"/>
    <n v="809076"/>
    <x v="3"/>
    <d v="2016-03-05T01:03:00"/>
    <d v="2016-03-05T00:00:00"/>
    <d v="2016-03-05T00:00:00"/>
    <x v="415"/>
    <x v="331"/>
    <n v="809076"/>
    <s v="null"/>
  </r>
  <r>
    <n v="809076"/>
    <s v="Filiberto "/>
    <s v="Zweifel"/>
    <s v="Filiberto 44@abcmail.com"/>
    <x v="2"/>
    <x v="4"/>
    <x v="30"/>
    <x v="4"/>
    <x v="7"/>
    <n v="809076"/>
    <x v="2"/>
    <d v="2016-02-18T07:53:00"/>
    <d v="2016-02-18T00:00:00"/>
    <d v="2016-02-18T00:00:00"/>
    <x v="453"/>
    <x v="345"/>
    <n v="809076"/>
    <s v="null"/>
  </r>
  <r>
    <n v="809076"/>
    <s v="Filiberto "/>
    <s v="Zweifel"/>
    <s v="Filiberto 44@abcmail.com"/>
    <x v="2"/>
    <x v="4"/>
    <x v="30"/>
    <x v="4"/>
    <x v="7"/>
    <n v="809076"/>
    <x v="3"/>
    <d v="2016-02-18T08:14:00"/>
    <d v="2016-02-18T00:00:00"/>
    <d v="2016-02-18T00:00:00"/>
    <x v="245"/>
    <x v="346"/>
    <n v="809076"/>
    <s v="null"/>
  </r>
  <r>
    <n v="809076"/>
    <s v="Filiberto "/>
    <s v="Zweifel"/>
    <s v="Filiberto 44@abcmail.com"/>
    <x v="2"/>
    <x v="4"/>
    <x v="30"/>
    <x v="4"/>
    <x v="7"/>
    <n v="809076"/>
    <x v="2"/>
    <d v="2016-03-06T19:10:00"/>
    <d v="2016-03-06T00:00:00"/>
    <d v="2016-03-06T00:00:00"/>
    <x v="454"/>
    <x v="53"/>
    <n v="809076"/>
    <s v="null"/>
  </r>
  <r>
    <n v="809076"/>
    <s v="Filiberto "/>
    <s v="Zweifel"/>
    <s v="Filiberto 44@abcmail.com"/>
    <x v="2"/>
    <x v="4"/>
    <x v="30"/>
    <x v="4"/>
    <x v="7"/>
    <n v="809076"/>
    <x v="10"/>
    <d v="2016-02-27T08:37:00"/>
    <d v="2016-02-27T00:00:00"/>
    <d v="2016-02-27T00:00:00"/>
    <x v="431"/>
    <x v="347"/>
    <n v="809076"/>
    <s v="null"/>
  </r>
  <r>
    <n v="809076"/>
    <s v="Filiberto "/>
    <s v="Zweifel"/>
    <s v="Filiberto 44@abcmail.com"/>
    <x v="2"/>
    <x v="4"/>
    <x v="30"/>
    <x v="4"/>
    <x v="7"/>
    <n v="809076"/>
    <x v="0"/>
    <d v="2016-03-12T13:09:00"/>
    <d v="2016-03-12T00:00:00"/>
    <d v="2016-03-12T00:00:00"/>
    <x v="116"/>
    <x v="348"/>
    <n v="809076"/>
    <s v="null"/>
  </r>
  <r>
    <n v="809076"/>
    <s v="Filiberto "/>
    <s v="Zweifel"/>
    <s v="Filiberto 44@abcmail.com"/>
    <x v="2"/>
    <x v="4"/>
    <x v="30"/>
    <x v="4"/>
    <x v="7"/>
    <n v="809076"/>
    <x v="4"/>
    <d v="2016-03-12T19:01:00"/>
    <d v="2016-03-12T00:00:00"/>
    <d v="2016-03-12T00:00:00"/>
    <x v="141"/>
    <x v="324"/>
    <n v="809076"/>
    <s v="null"/>
  </r>
  <r>
    <n v="809076"/>
    <s v="Filiberto "/>
    <s v="Zweifel"/>
    <s v="Filiberto 44@abcmail.com"/>
    <x v="2"/>
    <x v="4"/>
    <x v="30"/>
    <x v="4"/>
    <x v="7"/>
    <n v="809076"/>
    <x v="3"/>
    <d v="2016-03-21T14:33:00"/>
    <d v="2016-03-21T00:00:00"/>
    <d v="2016-03-21T00:00:00"/>
    <x v="455"/>
    <x v="349"/>
    <n v="809076"/>
    <s v="null"/>
  </r>
  <r>
    <n v="771123"/>
    <s v="None"/>
    <s v="None"/>
    <s v="Alecia 173@mail.com"/>
    <x v="0"/>
    <x v="0"/>
    <x v="0"/>
    <x v="0"/>
    <x v="0"/>
    <n v="771123"/>
    <x v="3"/>
    <d v="2016-03-26T23:22:00"/>
    <d v="2016-03-26T00:00:00"/>
    <d v="2016-03-26T00:00:00"/>
    <x v="189"/>
    <x v="350"/>
    <n v="771123"/>
    <s v="null"/>
  </r>
  <r>
    <n v="809079"/>
    <s v="Filiberto "/>
    <s v="Lavoie"/>
    <s v="Filiberto 43@mail.com"/>
    <x v="2"/>
    <x v="2"/>
    <x v="19"/>
    <x v="5"/>
    <x v="7"/>
    <n v="809079"/>
    <x v="9"/>
    <d v="2016-02-22T21:08:00"/>
    <d v="2016-02-22T00:00:00"/>
    <d v="2016-02-22T00:00:00"/>
    <x v="456"/>
    <x v="38"/>
    <n v="809079"/>
    <s v="null"/>
  </r>
  <r>
    <n v="809079"/>
    <s v="Filiberto "/>
    <s v="Lavoie"/>
    <s v="Filiberto 43@mail.com"/>
    <x v="2"/>
    <x v="2"/>
    <x v="19"/>
    <x v="5"/>
    <x v="7"/>
    <n v="809079"/>
    <x v="10"/>
    <d v="2016-02-21T15:27:00"/>
    <d v="2016-02-21T00:00:00"/>
    <d v="2016-02-21T00:00:00"/>
    <x v="278"/>
    <x v="239"/>
    <n v="809079"/>
    <s v="null"/>
  </r>
  <r>
    <n v="809079"/>
    <s v="Filiberto "/>
    <s v="Lavoie"/>
    <s v="Filiberto 43@mail.com"/>
    <x v="2"/>
    <x v="2"/>
    <x v="19"/>
    <x v="5"/>
    <x v="7"/>
    <n v="809079"/>
    <x v="2"/>
    <d v="2016-02-21T19:15:00"/>
    <d v="2016-02-21T00:00:00"/>
    <d v="2016-02-21T00:00:00"/>
    <x v="457"/>
    <x v="70"/>
    <n v="809079"/>
    <s v="null"/>
  </r>
  <r>
    <n v="809079"/>
    <s v="Filiberto "/>
    <s v="Lavoie"/>
    <s v="Filiberto 43@mail.com"/>
    <x v="2"/>
    <x v="2"/>
    <x v="19"/>
    <x v="5"/>
    <x v="7"/>
    <n v="809079"/>
    <x v="5"/>
    <d v="2016-02-21T19:22:00"/>
    <d v="2016-02-21T00:00:00"/>
    <d v="2016-02-21T00:00:00"/>
    <x v="371"/>
    <x v="57"/>
    <n v="809079"/>
    <s v="null"/>
  </r>
  <r>
    <n v="771147"/>
    <s v="Kyle "/>
    <s v="Mina"/>
    <s v="Kyle 64@abcmail.com"/>
    <x v="2"/>
    <x v="1"/>
    <x v="11"/>
    <x v="5"/>
    <x v="40"/>
    <n v="771147"/>
    <x v="9"/>
    <d v="2016-02-05T22:39:00"/>
    <d v="2016-02-05T00:00:00"/>
    <d v="2016-02-05T00:00:00"/>
    <x v="458"/>
    <x v="351"/>
    <n v="771147"/>
    <s v="null"/>
  </r>
  <r>
    <n v="771147"/>
    <s v="Kyle "/>
    <s v="Mina"/>
    <s v="Kyle 64@abcmail.com"/>
    <x v="2"/>
    <x v="1"/>
    <x v="11"/>
    <x v="5"/>
    <x v="40"/>
    <n v="771147"/>
    <x v="2"/>
    <d v="2016-02-06T12:58:00"/>
    <d v="2016-02-06T00:00:00"/>
    <d v="2016-02-06T00:00:00"/>
    <x v="459"/>
    <x v="352"/>
    <n v="771147"/>
    <s v="null"/>
  </r>
  <r>
    <n v="809081"/>
    <s v="Raymundo "/>
    <s v="Singer"/>
    <s v="Raymundo 435@mailxyz.com"/>
    <x v="2"/>
    <x v="2"/>
    <x v="8"/>
    <x v="2"/>
    <x v="18"/>
    <n v="809081"/>
    <x v="4"/>
    <d v="2016-02-20T16:36:00"/>
    <d v="2016-02-20T00:00:00"/>
    <d v="2016-02-20T00:00:00"/>
    <x v="460"/>
    <x v="266"/>
    <n v="809081"/>
    <s v="null"/>
  </r>
  <r>
    <n v="809081"/>
    <s v="Raymundo "/>
    <s v="Singer"/>
    <s v="Raymundo 435@mailxyz.com"/>
    <x v="2"/>
    <x v="2"/>
    <x v="8"/>
    <x v="2"/>
    <x v="18"/>
    <n v="809081"/>
    <x v="10"/>
    <d v="2016-02-18T21:48:00"/>
    <d v="2016-02-18T00:00:00"/>
    <d v="2016-02-18T00:00:00"/>
    <x v="291"/>
    <x v="353"/>
    <n v="809081"/>
    <s v="null"/>
  </r>
  <r>
    <n v="809081"/>
    <s v="Raymundo "/>
    <s v="Singer"/>
    <s v="Raymundo 435@mailxyz.com"/>
    <x v="2"/>
    <x v="2"/>
    <x v="8"/>
    <x v="2"/>
    <x v="18"/>
    <n v="809081"/>
    <x v="10"/>
    <d v="2016-02-21T22:17:00"/>
    <d v="2016-02-21T00:00:00"/>
    <d v="2016-02-21T00:00:00"/>
    <x v="168"/>
    <x v="154"/>
    <n v="809081"/>
    <s v="null"/>
  </r>
  <r>
    <n v="809081"/>
    <s v="Raymundo "/>
    <s v="Singer"/>
    <s v="Raymundo 435@mailxyz.com"/>
    <x v="2"/>
    <x v="2"/>
    <x v="8"/>
    <x v="2"/>
    <x v="18"/>
    <n v="809081"/>
    <x v="10"/>
    <d v="2016-03-09T19:24:00"/>
    <d v="2016-03-09T00:00:00"/>
    <d v="2016-03-09T00:00:00"/>
    <x v="461"/>
    <x v="354"/>
    <n v="809081"/>
    <s v="null"/>
  </r>
  <r>
    <n v="788787"/>
    <s v="Jacinto "/>
    <s v="Deblois"/>
    <s v="Jacinto 253@mail.com"/>
    <x v="2"/>
    <x v="1"/>
    <x v="14"/>
    <x v="7"/>
    <x v="19"/>
    <n v="788787"/>
    <x v="9"/>
    <d v="2016-03-04T14:09:00"/>
    <d v="2016-03-04T00:00:00"/>
    <d v="2016-03-04T00:00:00"/>
    <x v="310"/>
    <x v="355"/>
    <n v="788787"/>
    <s v="null"/>
  </r>
  <r>
    <n v="788787"/>
    <s v="Jacinto "/>
    <s v="Deblois"/>
    <s v="Jacinto 253@mail.com"/>
    <x v="2"/>
    <x v="1"/>
    <x v="14"/>
    <x v="7"/>
    <x v="19"/>
    <n v="788787"/>
    <x v="12"/>
    <d v="2016-03-07T22:46:00"/>
    <d v="2016-03-07T00:00:00"/>
    <d v="2016-03-07T00:00:00"/>
    <x v="462"/>
    <x v="37"/>
    <n v="788787"/>
    <s v="null"/>
  </r>
  <r>
    <n v="788788"/>
    <s v="Len "/>
    <s v="Styer"/>
    <s v="Len 442@gmail.com"/>
    <x v="2"/>
    <x v="2"/>
    <x v="18"/>
    <x v="3"/>
    <x v="11"/>
    <n v="788788"/>
    <x v="10"/>
    <d v="2016-02-03T19:41:00"/>
    <d v="2016-02-03T00:00:00"/>
    <d v="2016-02-03T00:00:00"/>
    <x v="242"/>
    <x v="356"/>
    <n v="788788"/>
    <s v="null"/>
  </r>
  <r>
    <n v="809083"/>
    <s v="Randy "/>
    <s v="Deblois"/>
    <s v="Randy 392@gmail.com"/>
    <x v="2"/>
    <x v="2"/>
    <x v="18"/>
    <x v="2"/>
    <x v="28"/>
    <n v="809083"/>
    <x v="5"/>
    <d v="2016-02-25T14:46:00"/>
    <d v="2016-02-25T00:00:00"/>
    <d v="2016-02-25T00:00:00"/>
    <x v="343"/>
    <x v="357"/>
    <n v="809083"/>
    <s v="null"/>
  </r>
  <r>
    <n v="809083"/>
    <s v="Randy "/>
    <s v="Deblois"/>
    <s v="Randy 392@gmail.com"/>
    <x v="2"/>
    <x v="2"/>
    <x v="18"/>
    <x v="2"/>
    <x v="28"/>
    <n v="809083"/>
    <x v="1"/>
    <d v="2016-02-23T01:29:00"/>
    <d v="2016-02-23T00:00:00"/>
    <d v="2016-02-23T00:00:00"/>
    <x v="463"/>
    <x v="174"/>
    <n v="809083"/>
    <s v="null"/>
  </r>
  <r>
    <n v="771941"/>
    <s v="Charlie "/>
    <s v="Deblois"/>
    <s v="Charlie 365@mailxyz.com"/>
    <x v="2"/>
    <x v="4"/>
    <x v="7"/>
    <x v="4"/>
    <x v="52"/>
    <n v="771941"/>
    <x v="3"/>
    <d v="2016-01-10T18:07:00"/>
    <d v="2016-01-10T00:00:00"/>
    <d v="2016-01-10T00:00:00"/>
    <x v="73"/>
    <x v="9"/>
    <n v="771941"/>
    <s v="null"/>
  </r>
  <r>
    <n v="771941"/>
    <s v="Charlie "/>
    <s v="Deblois"/>
    <s v="Charlie 365@mailxyz.com"/>
    <x v="2"/>
    <x v="4"/>
    <x v="7"/>
    <x v="4"/>
    <x v="52"/>
    <n v="771941"/>
    <x v="3"/>
    <d v="2016-01-31T23:05:00"/>
    <d v="2016-01-31T00:00:00"/>
    <d v="2016-01-31T00:00:00"/>
    <x v="206"/>
    <x v="358"/>
    <n v="771941"/>
    <s v="null"/>
  </r>
  <r>
    <n v="771941"/>
    <s v="Charlie "/>
    <s v="Deblois"/>
    <s v="Charlie 365@mailxyz.com"/>
    <x v="2"/>
    <x v="4"/>
    <x v="7"/>
    <x v="4"/>
    <x v="52"/>
    <n v="771941"/>
    <x v="8"/>
    <d v="2016-01-11T05:44:00"/>
    <d v="2016-01-11T00:00:00"/>
    <d v="2016-01-11T00:00:00"/>
    <x v="464"/>
    <x v="359"/>
    <n v="771941"/>
    <s v="null"/>
  </r>
  <r>
    <n v="771941"/>
    <s v="Charlie "/>
    <s v="Deblois"/>
    <s v="Charlie 365@mailxyz.com"/>
    <x v="2"/>
    <x v="4"/>
    <x v="7"/>
    <x v="4"/>
    <x v="52"/>
    <n v="771941"/>
    <x v="3"/>
    <d v="2016-01-30T21:56:00"/>
    <d v="2016-01-30T00:00:00"/>
    <d v="2016-01-30T00:00:00"/>
    <x v="366"/>
    <x v="360"/>
    <n v="771941"/>
    <s v="null"/>
  </r>
  <r>
    <n v="771941"/>
    <s v="Charlie "/>
    <s v="Deblois"/>
    <s v="Charlie 365@mailxyz.com"/>
    <x v="2"/>
    <x v="4"/>
    <x v="7"/>
    <x v="4"/>
    <x v="52"/>
    <n v="771941"/>
    <x v="8"/>
    <d v="2016-01-25T22:01:00"/>
    <d v="2016-01-25T00:00:00"/>
    <d v="2016-01-25T00:00:00"/>
    <x v="465"/>
    <x v="361"/>
    <n v="771941"/>
    <s v="null"/>
  </r>
  <r>
    <n v="771941"/>
    <s v="Charlie "/>
    <s v="Deblois"/>
    <s v="Charlie 365@mailxyz.com"/>
    <x v="2"/>
    <x v="4"/>
    <x v="7"/>
    <x v="4"/>
    <x v="52"/>
    <n v="771941"/>
    <x v="13"/>
    <d v="2016-01-11T08:12:00"/>
    <d v="2016-01-11T00:00:00"/>
    <d v="2016-01-11T00:00:00"/>
    <x v="221"/>
    <x v="362"/>
    <n v="771941"/>
    <s v="null"/>
  </r>
  <r>
    <n v="771945"/>
    <s v="Markus "/>
    <s v="Sieren"/>
    <s v="Markus 192@gmail.com"/>
    <x v="2"/>
    <x v="2"/>
    <x v="13"/>
    <x v="3"/>
    <x v="61"/>
    <n v="771945"/>
    <x v="8"/>
    <d v="2016-02-07T21:02:00"/>
    <d v="2016-02-07T00:00:00"/>
    <d v="2016-02-07T00:00:00"/>
    <x v="466"/>
    <x v="220"/>
    <n v="771945"/>
    <s v="null"/>
  </r>
  <r>
    <n v="771945"/>
    <s v="Markus "/>
    <s v="Sieren"/>
    <s v="Markus 192@gmail.com"/>
    <x v="2"/>
    <x v="2"/>
    <x v="13"/>
    <x v="3"/>
    <x v="61"/>
    <n v="771945"/>
    <x v="1"/>
    <d v="2016-01-28T21:40:00"/>
    <d v="2016-01-28T00:00:00"/>
    <d v="2016-01-28T00:00:00"/>
    <x v="467"/>
    <x v="198"/>
    <n v="771945"/>
    <s v="null"/>
  </r>
  <r>
    <n v="771945"/>
    <s v="Markus "/>
    <s v="Sieren"/>
    <s v="Markus 192@gmail.com"/>
    <x v="2"/>
    <x v="2"/>
    <x v="13"/>
    <x v="3"/>
    <x v="61"/>
    <n v="771945"/>
    <x v="10"/>
    <d v="2016-01-27T11:27:00"/>
    <d v="2016-01-27T00:00:00"/>
    <d v="2016-01-27T00:00:00"/>
    <x v="468"/>
    <x v="363"/>
    <n v="771945"/>
    <s v="null"/>
  </r>
  <r>
    <n v="771945"/>
    <s v="Markus "/>
    <s v="Sieren"/>
    <s v="Markus 192@gmail.com"/>
    <x v="2"/>
    <x v="2"/>
    <x v="13"/>
    <x v="3"/>
    <x v="61"/>
    <n v="771945"/>
    <x v="11"/>
    <d v="2016-01-27T10:14:00"/>
    <d v="2016-01-27T00:00:00"/>
    <d v="2016-01-27T00:00:00"/>
    <x v="469"/>
    <x v="113"/>
    <n v="771945"/>
    <s v="null"/>
  </r>
  <r>
    <n v="771945"/>
    <s v="Markus "/>
    <s v="Sieren"/>
    <s v="Markus 192@gmail.com"/>
    <x v="2"/>
    <x v="2"/>
    <x v="13"/>
    <x v="3"/>
    <x v="61"/>
    <n v="771945"/>
    <x v="5"/>
    <d v="2016-03-28T15:46:00"/>
    <d v="2016-03-28T00:00:00"/>
    <d v="2016-03-28T00:00:00"/>
    <x v="103"/>
    <x v="364"/>
    <n v="771945"/>
    <s v="null"/>
  </r>
  <r>
    <n v="771959"/>
    <s v="Len "/>
    <s v="Tancredi"/>
    <s v="Len 445@mailxyz.com"/>
    <x v="2"/>
    <x v="2"/>
    <x v="11"/>
    <x v="4"/>
    <x v="11"/>
    <n v="771959"/>
    <x v="3"/>
    <d v="2016-02-04T17:45:00"/>
    <d v="2016-02-04T00:00:00"/>
    <d v="2016-02-04T00:00:00"/>
    <x v="203"/>
    <x v="85"/>
    <n v="771959"/>
    <s v="null"/>
  </r>
  <r>
    <n v="771974"/>
    <s v="Michel "/>
    <s v="Mosser"/>
    <s v="Michel 205@mailxyz.com"/>
    <x v="2"/>
    <x v="2"/>
    <x v="8"/>
    <x v="1"/>
    <x v="34"/>
    <n v="771974"/>
    <x v="3"/>
    <d v="2016-02-02T12:28:00"/>
    <d v="2016-02-02T00:00:00"/>
    <d v="2016-02-02T00:00:00"/>
    <x v="470"/>
    <x v="365"/>
    <n v="771974"/>
    <s v="null"/>
  </r>
  <r>
    <n v="771974"/>
    <s v="Michel "/>
    <s v="Mosser"/>
    <s v="Michel 205@mailxyz.com"/>
    <x v="2"/>
    <x v="2"/>
    <x v="8"/>
    <x v="1"/>
    <x v="34"/>
    <n v="771974"/>
    <x v="8"/>
    <d v="2016-02-10T11:24:00"/>
    <d v="2016-02-10T00:00:00"/>
    <d v="2016-02-10T00:00:00"/>
    <x v="471"/>
    <x v="95"/>
    <n v="771974"/>
    <s v="null"/>
  </r>
  <r>
    <n v="771974"/>
    <s v="Michel "/>
    <s v="Mosser"/>
    <s v="Michel 205@mailxyz.com"/>
    <x v="2"/>
    <x v="2"/>
    <x v="8"/>
    <x v="1"/>
    <x v="34"/>
    <n v="771974"/>
    <x v="8"/>
    <d v="2016-01-30T14:16:00"/>
    <d v="2016-01-30T00:00:00"/>
    <d v="2016-01-30T00:00:00"/>
    <x v="319"/>
    <x v="85"/>
    <n v="771974"/>
    <s v="null"/>
  </r>
  <r>
    <n v="771974"/>
    <s v="Michel "/>
    <s v="Mosser"/>
    <s v="Michel 205@mailxyz.com"/>
    <x v="2"/>
    <x v="2"/>
    <x v="8"/>
    <x v="1"/>
    <x v="34"/>
    <n v="771974"/>
    <x v="3"/>
    <d v="2016-01-29T23:23:00"/>
    <d v="2016-01-29T00:00:00"/>
    <d v="2016-01-29T00:00:00"/>
    <x v="472"/>
    <x v="14"/>
    <n v="771974"/>
    <s v="null"/>
  </r>
  <r>
    <n v="771974"/>
    <s v="Michel "/>
    <s v="Mosser"/>
    <s v="Michel 205@mailxyz.com"/>
    <x v="2"/>
    <x v="2"/>
    <x v="8"/>
    <x v="1"/>
    <x v="34"/>
    <n v="771974"/>
    <x v="3"/>
    <d v="2016-01-30T13:51:00"/>
    <d v="2016-01-30T00:00:00"/>
    <d v="2016-01-30T00:00:00"/>
    <x v="42"/>
    <x v="366"/>
    <n v="771974"/>
    <s v="null"/>
  </r>
  <r>
    <n v="771978"/>
    <s v="Efren "/>
    <s v="Wigfall"/>
    <s v="Efren 131@yahoo.com"/>
    <x v="2"/>
    <x v="2"/>
    <x v="8"/>
    <x v="3"/>
    <x v="53"/>
    <n v="771978"/>
    <x v="2"/>
    <d v="2016-02-05T05:06:00"/>
    <d v="2016-02-05T00:00:00"/>
    <d v="2016-02-05T00:00:00"/>
    <x v="473"/>
    <x v="236"/>
    <n v="771978"/>
    <s v="null"/>
  </r>
  <r>
    <n v="771985"/>
    <s v="Emilie "/>
    <s v="Deblois"/>
    <s v="Emilie 12@gmail.com"/>
    <x v="1"/>
    <x v="2"/>
    <x v="8"/>
    <x v="2"/>
    <x v="94"/>
    <n v="771985"/>
    <x v="8"/>
    <d v="2016-02-04T18:32:00"/>
    <d v="2016-02-04T00:00:00"/>
    <d v="2016-02-04T00:00:00"/>
    <x v="441"/>
    <x v="367"/>
    <n v="771985"/>
    <s v="null"/>
  </r>
  <r>
    <n v="771985"/>
    <s v="Emilie "/>
    <s v="Deblois"/>
    <s v="Emilie 12@gmail.com"/>
    <x v="1"/>
    <x v="2"/>
    <x v="8"/>
    <x v="2"/>
    <x v="94"/>
    <n v="771985"/>
    <x v="2"/>
    <d v="2016-01-25T01:01:00"/>
    <d v="2016-01-25T00:00:00"/>
    <d v="2016-01-25T00:00:00"/>
    <x v="320"/>
    <x v="120"/>
    <n v="771985"/>
    <s v="null"/>
  </r>
  <r>
    <n v="771985"/>
    <s v="Emilie "/>
    <s v="Deblois"/>
    <s v="Emilie 12@gmail.com"/>
    <x v="1"/>
    <x v="2"/>
    <x v="8"/>
    <x v="2"/>
    <x v="94"/>
    <n v="771985"/>
    <x v="10"/>
    <d v="2016-01-22T18:24:00"/>
    <d v="2016-01-22T00:00:00"/>
    <d v="2016-01-22T00:00:00"/>
    <x v="156"/>
    <x v="368"/>
    <n v="771985"/>
    <s v="null"/>
  </r>
  <r>
    <n v="772000"/>
    <s v="Randy "/>
    <s v="Pascarella"/>
    <s v="Randy 391@yahoo.com"/>
    <x v="2"/>
    <x v="2"/>
    <x v="24"/>
    <x v="5"/>
    <x v="28"/>
    <n v="772000"/>
    <x v="4"/>
    <d v="2016-01-24T21:00:00"/>
    <d v="2016-01-24T00:00:00"/>
    <d v="2016-01-24T00:00:00"/>
    <x v="474"/>
    <x v="152"/>
    <n v="772000"/>
    <s v="null"/>
  </r>
  <r>
    <n v="772028"/>
    <s v="Shane "/>
    <s v="Arrieta"/>
    <s v="Shane 22@gmail.com"/>
    <x v="2"/>
    <x v="2"/>
    <x v="19"/>
    <x v="9"/>
    <x v="17"/>
    <n v="772028"/>
    <x v="3"/>
    <d v="2016-02-05T21:34:00"/>
    <d v="2016-02-05T00:00:00"/>
    <d v="2016-02-05T00:00:00"/>
    <x v="193"/>
    <x v="369"/>
    <n v="772028"/>
    <s v="null"/>
  </r>
  <r>
    <n v="772028"/>
    <s v="Shane "/>
    <s v="Arrieta"/>
    <s v="Shane 22@gmail.com"/>
    <x v="2"/>
    <x v="2"/>
    <x v="19"/>
    <x v="9"/>
    <x v="17"/>
    <n v="772028"/>
    <x v="8"/>
    <d v="2016-02-07T23:04:00"/>
    <d v="2016-02-07T00:00:00"/>
    <d v="2016-02-07T00:00:00"/>
    <x v="475"/>
    <x v="210"/>
    <n v="772028"/>
    <s v="null"/>
  </r>
  <r>
    <n v="772028"/>
    <s v="Shane "/>
    <s v="Arrieta"/>
    <s v="Shane 22@gmail.com"/>
    <x v="2"/>
    <x v="2"/>
    <x v="19"/>
    <x v="9"/>
    <x v="17"/>
    <n v="772028"/>
    <x v="2"/>
    <d v="2016-01-30T22:36:00"/>
    <d v="2016-01-30T00:00:00"/>
    <d v="2016-01-30T00:00:00"/>
    <x v="476"/>
    <x v="73"/>
    <n v="772028"/>
    <s v="null"/>
  </r>
  <r>
    <n v="772030"/>
    <s v="Charlie "/>
    <s v="Roquemore"/>
    <s v="Charlie 363@mail.com"/>
    <x v="2"/>
    <x v="4"/>
    <x v="6"/>
    <x v="4"/>
    <x v="52"/>
    <n v="772030"/>
    <x v="4"/>
    <d v="2016-02-02T21:43:00"/>
    <d v="2016-02-02T00:00:00"/>
    <d v="2016-02-02T00:00:00"/>
    <x v="248"/>
    <x v="16"/>
    <n v="772030"/>
    <s v="null"/>
  </r>
  <r>
    <n v="772030"/>
    <s v="Charlie "/>
    <s v="Roquemore"/>
    <s v="Charlie 363@mail.com"/>
    <x v="2"/>
    <x v="4"/>
    <x v="6"/>
    <x v="4"/>
    <x v="52"/>
    <n v="772030"/>
    <x v="16"/>
    <d v="2016-03-05T23:37:00"/>
    <d v="2016-03-05T00:00:00"/>
    <d v="2016-03-05T00:00:00"/>
    <x v="477"/>
    <x v="57"/>
    <n v="772030"/>
    <s v="null"/>
  </r>
  <r>
    <n v="772034"/>
    <s v="Bret "/>
    <s v="Reisinger"/>
    <s v="Bret 311@yahoo.com"/>
    <x v="2"/>
    <x v="5"/>
    <x v="29"/>
    <x v="3"/>
    <x v="10"/>
    <n v="772034"/>
    <x v="3"/>
    <d v="2016-02-01T13:39:00"/>
    <d v="2016-02-01T00:00:00"/>
    <d v="2016-02-01T00:00:00"/>
    <x v="185"/>
    <x v="27"/>
    <n v="772034"/>
    <s v="null"/>
  </r>
  <r>
    <n v="809085"/>
    <s v="Cody "/>
    <s v="Mccown"/>
    <s v="Cody 122@gmail.com"/>
    <x v="2"/>
    <x v="2"/>
    <x v="11"/>
    <x v="2"/>
    <x v="66"/>
    <n v="809085"/>
    <x v="3"/>
    <d v="2016-02-21T09:30:00"/>
    <d v="2016-02-21T00:00:00"/>
    <d v="2016-02-21T00:00:00"/>
    <x v="478"/>
    <x v="118"/>
    <n v="809085"/>
    <s v="null"/>
  </r>
  <r>
    <n v="809085"/>
    <s v="Cody "/>
    <s v="Mccown"/>
    <s v="Cody 122@gmail.com"/>
    <x v="2"/>
    <x v="2"/>
    <x v="11"/>
    <x v="2"/>
    <x v="66"/>
    <n v="809085"/>
    <x v="3"/>
    <d v="2016-02-20T11:18:00"/>
    <d v="2016-02-20T00:00:00"/>
    <d v="2016-02-20T00:00:00"/>
    <x v="479"/>
    <x v="10"/>
    <n v="809085"/>
    <s v="null"/>
  </r>
  <r>
    <n v="809085"/>
    <s v="Cody "/>
    <s v="Mccown"/>
    <s v="Cody 122@gmail.com"/>
    <x v="2"/>
    <x v="2"/>
    <x v="11"/>
    <x v="2"/>
    <x v="66"/>
    <n v="809085"/>
    <x v="4"/>
    <d v="2016-03-13T16:15:00"/>
    <d v="2016-03-13T00:00:00"/>
    <d v="2016-03-13T00:00:00"/>
    <x v="329"/>
    <x v="370"/>
    <n v="809085"/>
    <s v="null"/>
  </r>
  <r>
    <n v="809085"/>
    <s v="Cody "/>
    <s v="Mccown"/>
    <s v="Cody 122@gmail.com"/>
    <x v="2"/>
    <x v="2"/>
    <x v="11"/>
    <x v="2"/>
    <x v="66"/>
    <n v="809085"/>
    <x v="5"/>
    <d v="2016-02-02T21:11:00"/>
    <d v="2016-02-02T00:00:00"/>
    <d v="2016-02-02T00:00:00"/>
    <x v="480"/>
    <x v="118"/>
    <n v="809085"/>
    <s v="null"/>
  </r>
  <r>
    <n v="809085"/>
    <s v="Cody "/>
    <s v="Mccown"/>
    <s v="Cody 122@gmail.com"/>
    <x v="2"/>
    <x v="2"/>
    <x v="11"/>
    <x v="2"/>
    <x v="66"/>
    <n v="809085"/>
    <x v="3"/>
    <d v="2016-03-11T07:21:00"/>
    <d v="2016-03-11T00:00:00"/>
    <d v="2016-03-11T00:00:00"/>
    <x v="481"/>
    <x v="12"/>
    <n v="809085"/>
    <s v="null"/>
  </r>
  <r>
    <n v="809085"/>
    <s v="Cody "/>
    <s v="Mccown"/>
    <s v="Cody 122@gmail.com"/>
    <x v="2"/>
    <x v="2"/>
    <x v="11"/>
    <x v="2"/>
    <x v="66"/>
    <n v="809085"/>
    <x v="8"/>
    <d v="2016-01-21T00:16:00"/>
    <d v="2016-01-21T00:00:00"/>
    <d v="2016-01-21T00:00:00"/>
    <x v="482"/>
    <x v="371"/>
    <n v="809085"/>
    <s v="null"/>
  </r>
  <r>
    <n v="809085"/>
    <s v="Cody "/>
    <s v="Mccown"/>
    <s v="Cody 122@gmail.com"/>
    <x v="2"/>
    <x v="2"/>
    <x v="11"/>
    <x v="2"/>
    <x v="66"/>
    <n v="809085"/>
    <x v="3"/>
    <d v="2016-01-11T09:11:00"/>
    <d v="2016-01-11T00:00:00"/>
    <d v="2016-01-11T00:00:00"/>
    <x v="432"/>
    <x v="118"/>
    <n v="809085"/>
    <s v="null"/>
  </r>
  <r>
    <n v="809085"/>
    <s v="Cody "/>
    <s v="Mccown"/>
    <s v="Cody 122@gmail.com"/>
    <x v="2"/>
    <x v="2"/>
    <x v="11"/>
    <x v="2"/>
    <x v="66"/>
    <n v="809085"/>
    <x v="5"/>
    <d v="2016-01-30T21:11:00"/>
    <d v="2016-01-30T00:00:00"/>
    <d v="2016-01-30T00:00:00"/>
    <x v="480"/>
    <x v="10"/>
    <n v="809085"/>
    <s v="null"/>
  </r>
  <r>
    <n v="809085"/>
    <s v="Cody "/>
    <s v="Mccown"/>
    <s v="Cody 122@gmail.com"/>
    <x v="2"/>
    <x v="2"/>
    <x v="11"/>
    <x v="2"/>
    <x v="66"/>
    <n v="809085"/>
    <x v="2"/>
    <d v="2016-02-27T09:49:00"/>
    <d v="2016-02-27T00:00:00"/>
    <d v="2016-02-27T00:00:00"/>
    <x v="483"/>
    <x v="372"/>
    <n v="809085"/>
    <s v="null"/>
  </r>
  <r>
    <n v="809085"/>
    <s v="Cody "/>
    <s v="Mccown"/>
    <s v="Cody 122@gmail.com"/>
    <x v="2"/>
    <x v="2"/>
    <x v="11"/>
    <x v="2"/>
    <x v="66"/>
    <n v="809085"/>
    <x v="0"/>
    <d v="2016-03-15T17:42:00"/>
    <d v="2016-03-15T00:00:00"/>
    <d v="2016-03-15T00:00:00"/>
    <x v="484"/>
    <x v="373"/>
    <n v="809085"/>
    <s v="null"/>
  </r>
  <r>
    <n v="809085"/>
    <s v="Cody "/>
    <s v="Mccown"/>
    <s v="Cody 122@gmail.com"/>
    <x v="2"/>
    <x v="2"/>
    <x v="11"/>
    <x v="2"/>
    <x v="66"/>
    <n v="809085"/>
    <x v="12"/>
    <d v="2016-03-01T21:48:00"/>
    <d v="2016-03-01T00:00:00"/>
    <d v="2016-03-01T00:00:00"/>
    <x v="291"/>
    <x v="374"/>
    <n v="809085"/>
    <s v="null"/>
  </r>
  <r>
    <n v="772042"/>
    <s v="Iva "/>
    <s v="Styer"/>
    <s v="Iva 435@mailxyz.com"/>
    <x v="1"/>
    <x v="1"/>
    <x v="22"/>
    <x v="8"/>
    <x v="95"/>
    <n v="772042"/>
    <x v="6"/>
    <d v="2016-02-05T12:10:00"/>
    <d v="2016-02-05T00:00:00"/>
    <d v="2016-02-05T00:00:00"/>
    <x v="485"/>
    <x v="10"/>
    <n v="772042"/>
    <s v="null"/>
  </r>
  <r>
    <n v="772042"/>
    <s v="Iva "/>
    <s v="Styer"/>
    <s v="Iva 435@mailxyz.com"/>
    <x v="1"/>
    <x v="1"/>
    <x v="22"/>
    <x v="8"/>
    <x v="95"/>
    <n v="772042"/>
    <x v="6"/>
    <d v="2016-02-05T11:58:00"/>
    <d v="2016-02-05T00:00:00"/>
    <d v="2016-02-05T00:00:00"/>
    <x v="486"/>
    <x v="299"/>
    <n v="772042"/>
    <s v="null"/>
  </r>
  <r>
    <n v="772052"/>
    <s v="Stephen "/>
    <s v="Beville"/>
    <s v="Stephen 151@yahoo.com"/>
    <x v="2"/>
    <x v="4"/>
    <x v="13"/>
    <x v="4"/>
    <x v="48"/>
    <n v="772052"/>
    <x v="4"/>
    <d v="2016-03-20T18:26:00"/>
    <d v="2016-03-20T00:00:00"/>
    <d v="2016-03-20T00:00:00"/>
    <x v="292"/>
    <x v="10"/>
    <n v="772052"/>
    <s v="null"/>
  </r>
  <r>
    <n v="772052"/>
    <s v="Stephen "/>
    <s v="Beville"/>
    <s v="Stephen 151@yahoo.com"/>
    <x v="2"/>
    <x v="4"/>
    <x v="13"/>
    <x v="4"/>
    <x v="48"/>
    <n v="772052"/>
    <x v="4"/>
    <d v="2016-03-26T16:38:00"/>
    <d v="2016-03-26T00:00:00"/>
    <d v="2016-03-26T00:00:00"/>
    <x v="487"/>
    <x v="375"/>
    <n v="772052"/>
    <s v="null"/>
  </r>
  <r>
    <n v="772054"/>
    <s v="Earl "/>
    <s v="Jacox"/>
    <s v="Earl 422@gmail.com"/>
    <x v="2"/>
    <x v="1"/>
    <x v="30"/>
    <x v="4"/>
    <x v="81"/>
    <n v="772054"/>
    <x v="5"/>
    <d v="2016-03-05T11:55:00"/>
    <d v="2016-03-05T00:00:00"/>
    <d v="2016-03-05T00:00:00"/>
    <x v="393"/>
    <x v="310"/>
    <n v="772054"/>
    <s v="null"/>
  </r>
  <r>
    <n v="772054"/>
    <s v="Earl "/>
    <s v="Jacox"/>
    <s v="Earl 422@gmail.com"/>
    <x v="2"/>
    <x v="1"/>
    <x v="30"/>
    <x v="4"/>
    <x v="81"/>
    <n v="772054"/>
    <x v="0"/>
    <d v="2016-03-12T19:54:00"/>
    <d v="2016-03-12T00:00:00"/>
    <d v="2016-03-12T00:00:00"/>
    <x v="223"/>
    <x v="376"/>
    <n v="772054"/>
    <s v="null"/>
  </r>
  <r>
    <n v="772054"/>
    <s v="Earl "/>
    <s v="Jacox"/>
    <s v="Earl 422@gmail.com"/>
    <x v="2"/>
    <x v="1"/>
    <x v="30"/>
    <x v="4"/>
    <x v="81"/>
    <n v="772054"/>
    <x v="4"/>
    <d v="2016-03-24T18:46:00"/>
    <d v="2016-03-24T00:00:00"/>
    <d v="2016-03-24T00:00:00"/>
    <x v="488"/>
    <x v="134"/>
    <n v="772054"/>
    <s v="null"/>
  </r>
  <r>
    <n v="772068"/>
    <s v="Charlie "/>
    <s v="Vital"/>
    <s v="Charlie 362@gmail.com"/>
    <x v="2"/>
    <x v="2"/>
    <x v="2"/>
    <x v="3"/>
    <x v="52"/>
    <n v="772068"/>
    <x v="3"/>
    <d v="2016-01-08T02:46:00"/>
    <d v="2016-01-08T00:00:00"/>
    <d v="2016-01-08T00:00:00"/>
    <x v="489"/>
    <x v="377"/>
    <n v="772068"/>
    <s v="null"/>
  </r>
  <r>
    <n v="772068"/>
    <s v="Charlie "/>
    <s v="Vital"/>
    <s v="Charlie 362@gmail.com"/>
    <x v="2"/>
    <x v="2"/>
    <x v="2"/>
    <x v="3"/>
    <x v="52"/>
    <n v="772068"/>
    <x v="4"/>
    <d v="2016-01-25T23:34:00"/>
    <d v="2016-01-25T00:00:00"/>
    <d v="2016-01-25T00:00:00"/>
    <x v="490"/>
    <x v="378"/>
    <n v="772068"/>
    <s v="null"/>
  </r>
  <r>
    <n v="772068"/>
    <s v="Charlie "/>
    <s v="Vital"/>
    <s v="Charlie 362@gmail.com"/>
    <x v="2"/>
    <x v="2"/>
    <x v="2"/>
    <x v="3"/>
    <x v="52"/>
    <n v="772068"/>
    <x v="7"/>
    <d v="2016-03-01T21:44:00"/>
    <d v="2016-03-01T00:00:00"/>
    <d v="2016-03-01T00:00:00"/>
    <x v="362"/>
    <x v="112"/>
    <n v="772068"/>
    <s v="null"/>
  </r>
  <r>
    <n v="772088"/>
    <s v="Yong "/>
    <s v="Mastrangelo"/>
    <s v="Yong 483@mail.com"/>
    <x v="2"/>
    <x v="2"/>
    <x v="12"/>
    <x v="2"/>
    <x v="3"/>
    <n v="772088"/>
    <x v="12"/>
    <d v="2016-02-04T20:25:00"/>
    <d v="2016-02-04T00:00:00"/>
    <d v="2016-02-04T00:00:00"/>
    <x v="491"/>
    <x v="10"/>
    <n v="772088"/>
    <s v="null"/>
  </r>
  <r>
    <n v="772088"/>
    <s v="Yong "/>
    <s v="Mastrangelo"/>
    <s v="Yong 483@mail.com"/>
    <x v="2"/>
    <x v="2"/>
    <x v="12"/>
    <x v="2"/>
    <x v="3"/>
    <n v="772088"/>
    <x v="12"/>
    <d v="2016-02-04T20:11:00"/>
    <d v="2016-02-04T00:00:00"/>
    <d v="2016-02-04T00:00:00"/>
    <x v="492"/>
    <x v="379"/>
    <n v="772088"/>
    <s v="null"/>
  </r>
  <r>
    <n v="772088"/>
    <s v="Yong "/>
    <s v="Mastrangelo"/>
    <s v="Yong 483@mail.com"/>
    <x v="2"/>
    <x v="2"/>
    <x v="12"/>
    <x v="2"/>
    <x v="3"/>
    <n v="772088"/>
    <x v="10"/>
    <d v="2016-01-23T23:24:00"/>
    <d v="2016-01-23T00:00:00"/>
    <d v="2016-01-23T00:00:00"/>
    <x v="337"/>
    <x v="380"/>
    <n v="772088"/>
    <s v="null"/>
  </r>
  <r>
    <n v="772091"/>
    <s v="Efren "/>
    <s v="Styer"/>
    <s v="Efren 132@gmail.com"/>
    <x v="2"/>
    <x v="4"/>
    <x v="6"/>
    <x v="2"/>
    <x v="53"/>
    <n v="772091"/>
    <x v="5"/>
    <d v="2016-01-30T07:39:00"/>
    <d v="2016-01-30T00:00:00"/>
    <d v="2016-01-30T00:00:00"/>
    <x v="335"/>
    <x v="37"/>
    <n v="772091"/>
    <s v="null"/>
  </r>
  <r>
    <n v="772098"/>
    <s v="Garry "/>
    <s v="Caves"/>
    <s v="Garry 285@mailxyz.com"/>
    <x v="2"/>
    <x v="1"/>
    <x v="37"/>
    <x v="4"/>
    <x v="2"/>
    <n v="772098"/>
    <x v="4"/>
    <d v="2016-03-19T21:04:00"/>
    <d v="2016-03-19T00:00:00"/>
    <d v="2016-03-19T00:00:00"/>
    <x v="493"/>
    <x v="381"/>
    <n v="772098"/>
    <s v="null"/>
  </r>
  <r>
    <n v="772101"/>
    <s v="Stefan "/>
    <s v="Pascarella"/>
    <s v="Stefan 462@gmail.com"/>
    <x v="2"/>
    <x v="4"/>
    <x v="40"/>
    <x v="2"/>
    <x v="26"/>
    <n v="772101"/>
    <x v="12"/>
    <d v="2016-03-13T21:44:00"/>
    <d v="2016-03-13T00:00:00"/>
    <d v="2016-03-13T00:00:00"/>
    <x v="362"/>
    <x v="10"/>
    <n v="772101"/>
    <s v="null"/>
  </r>
  <r>
    <n v="772101"/>
    <s v="Stefan "/>
    <s v="Pascarella"/>
    <s v="Stefan 462@gmail.com"/>
    <x v="2"/>
    <x v="4"/>
    <x v="40"/>
    <x v="2"/>
    <x v="26"/>
    <n v="772101"/>
    <x v="12"/>
    <d v="2016-03-24T12:00:00"/>
    <d v="2016-03-24T00:00:00"/>
    <d v="2016-03-24T00:00:00"/>
    <x v="494"/>
    <x v="77"/>
    <n v="772101"/>
    <s v="null"/>
  </r>
  <r>
    <n v="772101"/>
    <s v="Stefan "/>
    <s v="Pascarella"/>
    <s v="Stefan 462@gmail.com"/>
    <x v="2"/>
    <x v="4"/>
    <x v="40"/>
    <x v="2"/>
    <x v="26"/>
    <n v="772101"/>
    <x v="10"/>
    <d v="2016-02-03T21:41:00"/>
    <d v="2016-02-03T00:00:00"/>
    <d v="2016-02-03T00:00:00"/>
    <x v="270"/>
    <x v="382"/>
    <n v="772101"/>
    <s v="null"/>
  </r>
  <r>
    <n v="772102"/>
    <s v="Len "/>
    <s v="Fudge"/>
    <s v="Len 445@mailxyz.com"/>
    <x v="2"/>
    <x v="4"/>
    <x v="48"/>
    <x v="4"/>
    <x v="11"/>
    <n v="772102"/>
    <x v="5"/>
    <d v="2016-01-14T07:03:00"/>
    <d v="2016-01-14T00:00:00"/>
    <d v="2016-01-14T00:00:00"/>
    <x v="495"/>
    <x v="10"/>
    <n v="772102"/>
    <s v="null"/>
  </r>
  <r>
    <n v="772102"/>
    <s v="Len "/>
    <s v="Fudge"/>
    <s v="Len 445@mailxyz.com"/>
    <x v="2"/>
    <x v="4"/>
    <x v="48"/>
    <x v="4"/>
    <x v="11"/>
    <n v="772102"/>
    <x v="9"/>
    <d v="2016-01-13T14:38:00"/>
    <d v="2016-01-13T00:00:00"/>
    <d v="2016-01-13T00:00:00"/>
    <x v="69"/>
    <x v="383"/>
    <n v="772102"/>
    <s v="null"/>
  </r>
  <r>
    <n v="772117"/>
    <s v="Jared "/>
    <s v="Mcclaine"/>
    <s v="Jared 502@gmail.com"/>
    <x v="2"/>
    <x v="4"/>
    <x v="28"/>
    <x v="4"/>
    <x v="50"/>
    <n v="772117"/>
    <x v="3"/>
    <d v="2016-02-05T11:46:00"/>
    <d v="2016-02-05T00:00:00"/>
    <d v="2016-02-05T00:00:00"/>
    <x v="284"/>
    <x v="342"/>
    <n v="772117"/>
    <s v="null"/>
  </r>
  <r>
    <n v="772117"/>
    <s v="Jared "/>
    <s v="Mcclaine"/>
    <s v="Jared 502@gmail.com"/>
    <x v="2"/>
    <x v="4"/>
    <x v="28"/>
    <x v="4"/>
    <x v="50"/>
    <n v="772117"/>
    <x v="3"/>
    <d v="2016-02-04T13:36:00"/>
    <d v="2016-02-04T00:00:00"/>
    <d v="2016-02-04T00:00:00"/>
    <x v="496"/>
    <x v="321"/>
    <n v="772117"/>
    <s v="null"/>
  </r>
  <r>
    <n v="809087"/>
    <s v="Raymundo "/>
    <s v="Vital"/>
    <s v="Raymundo 434@abcmail.com"/>
    <x v="2"/>
    <x v="1"/>
    <x v="1"/>
    <x v="1"/>
    <x v="18"/>
    <n v="809087"/>
    <x v="3"/>
    <d v="2016-01-13T19:50:00"/>
    <d v="2016-01-13T00:00:00"/>
    <d v="2016-01-13T00:00:00"/>
    <x v="181"/>
    <x v="102"/>
    <n v="809087"/>
    <s v="null"/>
  </r>
  <r>
    <n v="809087"/>
    <s v="Raymundo "/>
    <s v="Vital"/>
    <s v="Raymundo 434@abcmail.com"/>
    <x v="2"/>
    <x v="1"/>
    <x v="1"/>
    <x v="1"/>
    <x v="18"/>
    <n v="809087"/>
    <x v="4"/>
    <d v="2016-01-16T16:38:00"/>
    <d v="2016-01-16T00:00:00"/>
    <d v="2016-01-16T00:00:00"/>
    <x v="487"/>
    <x v="8"/>
    <n v="809087"/>
    <s v="null"/>
  </r>
  <r>
    <n v="809087"/>
    <s v="Raymundo "/>
    <s v="Vital"/>
    <s v="Raymundo 434@abcmail.com"/>
    <x v="2"/>
    <x v="1"/>
    <x v="1"/>
    <x v="1"/>
    <x v="18"/>
    <n v="809087"/>
    <x v="5"/>
    <d v="2016-01-14T19:06:00"/>
    <d v="2016-01-14T00:00:00"/>
    <d v="2016-01-14T00:00:00"/>
    <x v="497"/>
    <x v="384"/>
    <n v="809087"/>
    <s v="null"/>
  </r>
  <r>
    <n v="809087"/>
    <s v="Raymundo "/>
    <s v="Vital"/>
    <s v="Raymundo 434@abcmail.com"/>
    <x v="2"/>
    <x v="1"/>
    <x v="1"/>
    <x v="1"/>
    <x v="18"/>
    <n v="809087"/>
    <x v="5"/>
    <d v="2016-01-12T15:07:00"/>
    <d v="2016-01-12T00:00:00"/>
    <d v="2016-01-12T00:00:00"/>
    <x v="498"/>
    <x v="151"/>
    <n v="809087"/>
    <s v="null"/>
  </r>
  <r>
    <n v="788792"/>
    <s v="Felipa "/>
    <s v="Mcculloch"/>
    <s v="Felipa 175@mailxyz.com"/>
    <x v="1"/>
    <x v="2"/>
    <x v="15"/>
    <x v="2"/>
    <x v="96"/>
    <n v="788792"/>
    <x v="10"/>
    <d v="2016-01-29T07:10:00"/>
    <d v="2016-01-29T00:00:00"/>
    <d v="2016-01-29T00:00:00"/>
    <x v="499"/>
    <x v="385"/>
    <n v="788792"/>
    <s v="null"/>
  </r>
  <r>
    <n v="788792"/>
    <s v="Felipa "/>
    <s v="Mcculloch"/>
    <s v="Felipa 175@mailxyz.com"/>
    <x v="1"/>
    <x v="2"/>
    <x v="15"/>
    <x v="2"/>
    <x v="96"/>
    <n v="788792"/>
    <x v="10"/>
    <d v="2016-01-16T13:27:00"/>
    <d v="2016-01-16T00:00:00"/>
    <d v="2016-01-16T00:00:00"/>
    <x v="407"/>
    <x v="58"/>
    <n v="788792"/>
    <s v="null"/>
  </r>
  <r>
    <n v="788792"/>
    <s v="Felipa "/>
    <s v="Mcculloch"/>
    <s v="Felipa 175@mailxyz.com"/>
    <x v="1"/>
    <x v="2"/>
    <x v="15"/>
    <x v="2"/>
    <x v="96"/>
    <n v="788792"/>
    <x v="9"/>
    <d v="2016-03-31T21:10:00"/>
    <d v="2016-03-31T00:00:00"/>
    <d v="2016-03-31T00:00:00"/>
    <x v="365"/>
    <x v="386"/>
    <n v="788792"/>
    <s v="null"/>
  </r>
  <r>
    <n v="788792"/>
    <s v="Felipa "/>
    <s v="Mcculloch"/>
    <s v="Felipa 175@mailxyz.com"/>
    <x v="1"/>
    <x v="2"/>
    <x v="15"/>
    <x v="2"/>
    <x v="96"/>
    <n v="788792"/>
    <x v="10"/>
    <d v="2016-02-28T14:22:00"/>
    <d v="2016-02-28T00:00:00"/>
    <d v="2016-02-28T00:00:00"/>
    <x v="500"/>
    <x v="120"/>
    <n v="788792"/>
    <s v="null"/>
  </r>
  <r>
    <n v="789360"/>
    <s v="Bret "/>
    <s v="Mcculloch"/>
    <s v="Bret 315@mailxyz.com"/>
    <x v="2"/>
    <x v="2"/>
    <x v="7"/>
    <x v="5"/>
    <x v="10"/>
    <n v="789360"/>
    <x v="2"/>
    <d v="2016-02-13T12:28:00"/>
    <d v="2016-02-13T00:00:00"/>
    <d v="2016-02-13T00:00:00"/>
    <x v="470"/>
    <x v="387"/>
    <n v="789360"/>
    <s v="null"/>
  </r>
  <r>
    <n v="788794"/>
    <s v="Chas "/>
    <s v="Hier"/>
    <s v="Chas 354@abcmail.com"/>
    <x v="2"/>
    <x v="2"/>
    <x v="7"/>
    <x v="6"/>
    <x v="35"/>
    <n v="788794"/>
    <x v="9"/>
    <d v="2016-02-11T20:38:00"/>
    <d v="2016-02-11T00:00:00"/>
    <d v="2016-02-11T00:00:00"/>
    <x v="249"/>
    <x v="388"/>
    <n v="788794"/>
    <s v="null"/>
  </r>
  <r>
    <n v="788794"/>
    <s v="Chas "/>
    <s v="Hier"/>
    <s v="Chas 354@abcmail.com"/>
    <x v="2"/>
    <x v="2"/>
    <x v="7"/>
    <x v="6"/>
    <x v="35"/>
    <n v="788794"/>
    <x v="3"/>
    <d v="2016-02-10T12:41:00"/>
    <d v="2016-02-10T00:00:00"/>
    <d v="2016-02-10T00:00:00"/>
    <x v="217"/>
    <x v="389"/>
    <n v="788794"/>
    <s v="null"/>
  </r>
  <r>
    <n v="788794"/>
    <s v="Chas "/>
    <s v="Hier"/>
    <s v="Chas 354@abcmail.com"/>
    <x v="2"/>
    <x v="2"/>
    <x v="7"/>
    <x v="6"/>
    <x v="35"/>
    <n v="788794"/>
    <x v="4"/>
    <d v="2016-02-06T22:53:00"/>
    <d v="2016-02-06T00:00:00"/>
    <d v="2016-02-06T00:00:00"/>
    <x v="501"/>
    <x v="390"/>
    <n v="788794"/>
    <s v="null"/>
  </r>
  <r>
    <n v="788794"/>
    <s v="Chas "/>
    <s v="Hier"/>
    <s v="Chas 354@abcmail.com"/>
    <x v="2"/>
    <x v="2"/>
    <x v="7"/>
    <x v="6"/>
    <x v="35"/>
    <n v="788794"/>
    <x v="4"/>
    <d v="2016-02-13T23:02:00"/>
    <d v="2016-02-13T00:00:00"/>
    <d v="2016-02-13T00:00:00"/>
    <x v="502"/>
    <x v="129"/>
    <n v="788794"/>
    <s v="null"/>
  </r>
  <r>
    <n v="809091"/>
    <s v="Markus "/>
    <s v="Bilyeu"/>
    <s v="Markus 192@gmail.com"/>
    <x v="2"/>
    <x v="2"/>
    <x v="42"/>
    <x v="2"/>
    <x v="61"/>
    <n v="809091"/>
    <x v="8"/>
    <d v="2016-02-11T22:56:00"/>
    <d v="2016-02-11T00:00:00"/>
    <d v="2016-02-11T00:00:00"/>
    <x v="503"/>
    <x v="89"/>
    <n v="809091"/>
    <s v="null"/>
  </r>
  <r>
    <n v="809091"/>
    <s v="Markus "/>
    <s v="Bilyeu"/>
    <s v="Markus 192@gmail.com"/>
    <x v="2"/>
    <x v="2"/>
    <x v="42"/>
    <x v="2"/>
    <x v="61"/>
    <n v="809091"/>
    <x v="3"/>
    <d v="2016-03-22T14:51:00"/>
    <d v="2016-03-22T00:00:00"/>
    <d v="2016-03-22T00:00:00"/>
    <x v="24"/>
    <x v="391"/>
    <n v="809091"/>
    <s v="null"/>
  </r>
  <r>
    <n v="809091"/>
    <s v="Markus "/>
    <s v="Bilyeu"/>
    <s v="Markus 192@gmail.com"/>
    <x v="2"/>
    <x v="2"/>
    <x v="42"/>
    <x v="2"/>
    <x v="61"/>
    <n v="809091"/>
    <x v="8"/>
    <d v="2016-02-14T13:46:00"/>
    <d v="2016-02-14T00:00:00"/>
    <d v="2016-02-14T00:00:00"/>
    <x v="504"/>
    <x v="380"/>
    <n v="809091"/>
    <s v="null"/>
  </r>
  <r>
    <n v="809091"/>
    <s v="Markus "/>
    <s v="Bilyeu"/>
    <s v="Markus 192@gmail.com"/>
    <x v="2"/>
    <x v="2"/>
    <x v="42"/>
    <x v="2"/>
    <x v="61"/>
    <n v="809091"/>
    <x v="10"/>
    <d v="2016-02-02T12:44:00"/>
    <d v="2016-02-02T00:00:00"/>
    <d v="2016-02-02T00:00:00"/>
    <x v="505"/>
    <x v="392"/>
    <n v="809091"/>
    <s v="null"/>
  </r>
  <r>
    <n v="809091"/>
    <s v="Markus "/>
    <s v="Bilyeu"/>
    <s v="Markus 192@gmail.com"/>
    <x v="2"/>
    <x v="2"/>
    <x v="42"/>
    <x v="2"/>
    <x v="61"/>
    <n v="809091"/>
    <x v="14"/>
    <d v="2016-01-22T17:23:00"/>
    <d v="2016-01-22T00:00:00"/>
    <d v="2016-01-22T00:00:00"/>
    <x v="506"/>
    <x v="52"/>
    <n v="809091"/>
    <s v="null"/>
  </r>
  <r>
    <n v="809091"/>
    <s v="Markus "/>
    <s v="Bilyeu"/>
    <s v="Markus 192@gmail.com"/>
    <x v="2"/>
    <x v="2"/>
    <x v="42"/>
    <x v="2"/>
    <x v="61"/>
    <n v="809091"/>
    <x v="3"/>
    <d v="2016-01-21T15:14:00"/>
    <d v="2016-01-21T00:00:00"/>
    <d v="2016-01-21T00:00:00"/>
    <x v="507"/>
    <x v="393"/>
    <n v="809091"/>
    <s v="null"/>
  </r>
  <r>
    <n v="809091"/>
    <s v="Markus "/>
    <s v="Bilyeu"/>
    <s v="Markus 192@gmail.com"/>
    <x v="2"/>
    <x v="2"/>
    <x v="42"/>
    <x v="2"/>
    <x v="61"/>
    <n v="809091"/>
    <x v="3"/>
    <d v="2016-01-24T17:54:00"/>
    <d v="2016-01-24T00:00:00"/>
    <d v="2016-01-24T00:00:00"/>
    <x v="230"/>
    <x v="103"/>
    <n v="809091"/>
    <s v="null"/>
  </r>
  <r>
    <n v="809091"/>
    <s v="Markus "/>
    <s v="Bilyeu"/>
    <s v="Markus 192@gmail.com"/>
    <x v="2"/>
    <x v="2"/>
    <x v="42"/>
    <x v="2"/>
    <x v="61"/>
    <n v="809091"/>
    <x v="3"/>
    <d v="2016-01-22T08:14:00"/>
    <d v="2016-01-22T00:00:00"/>
    <d v="2016-01-22T00:00:00"/>
    <x v="245"/>
    <x v="394"/>
    <n v="809091"/>
    <s v="null"/>
  </r>
  <r>
    <n v="809091"/>
    <s v="Markus "/>
    <s v="Bilyeu"/>
    <s v="Markus 192@gmail.com"/>
    <x v="2"/>
    <x v="2"/>
    <x v="42"/>
    <x v="2"/>
    <x v="61"/>
    <n v="809091"/>
    <x v="3"/>
    <d v="2016-03-28T17:50:00"/>
    <d v="2016-03-28T00:00:00"/>
    <d v="2016-03-28T00:00:00"/>
    <x v="404"/>
    <x v="395"/>
    <n v="809091"/>
    <s v="null"/>
  </r>
  <r>
    <n v="809091"/>
    <s v="Markus "/>
    <s v="Bilyeu"/>
    <s v="Markus 192@gmail.com"/>
    <x v="2"/>
    <x v="2"/>
    <x v="42"/>
    <x v="2"/>
    <x v="61"/>
    <n v="809091"/>
    <x v="3"/>
    <d v="2016-03-25T20:04:00"/>
    <d v="2016-03-25T00:00:00"/>
    <d v="2016-03-25T00:00:00"/>
    <x v="508"/>
    <x v="396"/>
    <n v="809091"/>
    <s v="null"/>
  </r>
  <r>
    <n v="809094"/>
    <s v="Jacinto "/>
    <s v="Hoadley"/>
    <s v="Jacinto 255@mailxyz.com"/>
    <x v="2"/>
    <x v="4"/>
    <x v="4"/>
    <x v="7"/>
    <x v="19"/>
    <n v="809094"/>
    <x v="5"/>
    <d v="2016-02-20T16:34:00"/>
    <d v="2016-02-20T00:00:00"/>
    <d v="2016-02-20T00:00:00"/>
    <x v="267"/>
    <x v="14"/>
    <n v="809094"/>
    <s v="null"/>
  </r>
  <r>
    <n v="809094"/>
    <s v="Jacinto "/>
    <s v="Hoadley"/>
    <s v="Jacinto 255@mailxyz.com"/>
    <x v="2"/>
    <x v="4"/>
    <x v="4"/>
    <x v="7"/>
    <x v="19"/>
    <n v="809094"/>
    <x v="13"/>
    <d v="2016-02-21T09:50:00"/>
    <d v="2016-02-21T00:00:00"/>
    <d v="2016-02-21T00:00:00"/>
    <x v="509"/>
    <x v="53"/>
    <n v="809094"/>
    <s v="null"/>
  </r>
  <r>
    <n v="809094"/>
    <s v="Jacinto "/>
    <s v="Hoadley"/>
    <s v="Jacinto 255@mailxyz.com"/>
    <x v="2"/>
    <x v="4"/>
    <x v="4"/>
    <x v="7"/>
    <x v="19"/>
    <n v="809094"/>
    <x v="0"/>
    <d v="2016-02-24T19:22:00"/>
    <d v="2016-02-24T00:00:00"/>
    <d v="2016-02-24T00:00:00"/>
    <x v="371"/>
    <x v="42"/>
    <n v="809094"/>
    <s v="null"/>
  </r>
  <r>
    <n v="809094"/>
    <s v="Jacinto "/>
    <s v="Hoadley"/>
    <s v="Jacinto 255@mailxyz.com"/>
    <x v="2"/>
    <x v="4"/>
    <x v="4"/>
    <x v="7"/>
    <x v="19"/>
    <n v="809094"/>
    <x v="12"/>
    <d v="2016-02-24T21:10:00"/>
    <d v="2016-02-24T00:00:00"/>
    <d v="2016-02-24T00:00:00"/>
    <x v="365"/>
    <x v="12"/>
    <n v="809094"/>
    <s v="null"/>
  </r>
  <r>
    <n v="786206"/>
    <s v="Valentine "/>
    <s v="Lavoie"/>
    <s v="Valentine 473@mail.com"/>
    <x v="2"/>
    <x v="5"/>
    <x v="49"/>
    <x v="2"/>
    <x v="30"/>
    <n v="786206"/>
    <x v="9"/>
    <d v="2016-01-30T15:25:00"/>
    <d v="2016-01-30T00:00:00"/>
    <d v="2016-01-30T00:00:00"/>
    <x v="127"/>
    <x v="397"/>
    <n v="786206"/>
    <s v="null"/>
  </r>
  <r>
    <n v="786206"/>
    <s v="Valentine "/>
    <s v="Lavoie"/>
    <s v="Valentine 473@mail.com"/>
    <x v="2"/>
    <x v="5"/>
    <x v="49"/>
    <x v="2"/>
    <x v="30"/>
    <n v="786206"/>
    <x v="9"/>
    <d v="2016-01-30T15:12:00"/>
    <d v="2016-01-30T00:00:00"/>
    <d v="2016-01-30T00:00:00"/>
    <x v="510"/>
    <x v="64"/>
    <n v="786206"/>
    <s v="null"/>
  </r>
  <r>
    <n v="786206"/>
    <s v="Valentine "/>
    <s v="Lavoie"/>
    <s v="Valentine 473@mail.com"/>
    <x v="2"/>
    <x v="5"/>
    <x v="49"/>
    <x v="2"/>
    <x v="30"/>
    <n v="786206"/>
    <x v="9"/>
    <d v="2016-01-29T17:27:00"/>
    <d v="2016-01-29T00:00:00"/>
    <d v="2016-01-29T00:00:00"/>
    <x v="511"/>
    <x v="398"/>
    <n v="786206"/>
    <s v="null"/>
  </r>
  <r>
    <n v="772828"/>
    <s v="Valentine "/>
    <s v="Sytsma"/>
    <s v="Valentine 475@mailxyz.com"/>
    <x v="2"/>
    <x v="4"/>
    <x v="17"/>
    <x v="7"/>
    <x v="30"/>
    <n v="772828"/>
    <x v="2"/>
    <d v="2016-02-08T20:02:00"/>
    <d v="2016-02-08T00:00:00"/>
    <d v="2016-02-08T00:00:00"/>
    <x v="512"/>
    <x v="11"/>
    <n v="772828"/>
    <s v="null"/>
  </r>
  <r>
    <n v="809101"/>
    <s v="Kip "/>
    <s v="Bilyeu"/>
    <s v="Kip 145@mailxyz.com"/>
    <x v="2"/>
    <x v="2"/>
    <x v="11"/>
    <x v="6"/>
    <x v="13"/>
    <n v="809101"/>
    <x v="4"/>
    <d v="2016-02-12T17:56:00"/>
    <d v="2016-02-12T00:00:00"/>
    <d v="2016-02-12T00:00:00"/>
    <x v="513"/>
    <x v="160"/>
    <n v="809101"/>
    <s v="null"/>
  </r>
  <r>
    <n v="809102"/>
    <s v="Hyman "/>
    <s v="Sieren"/>
    <s v="Hyman 83@mail.com"/>
    <x v="2"/>
    <x v="5"/>
    <x v="6"/>
    <x v="3"/>
    <x v="62"/>
    <n v="809102"/>
    <x v="2"/>
    <d v="2016-02-20T20:38:00"/>
    <d v="2016-02-20T00:00:00"/>
    <d v="2016-02-20T00:00:00"/>
    <x v="249"/>
    <x v="399"/>
    <n v="809102"/>
    <s v="null"/>
  </r>
  <r>
    <n v="809102"/>
    <s v="Hyman "/>
    <s v="Sieren"/>
    <s v="Hyman 83@mail.com"/>
    <x v="2"/>
    <x v="5"/>
    <x v="6"/>
    <x v="3"/>
    <x v="62"/>
    <n v="809102"/>
    <x v="1"/>
    <d v="2016-02-22T14:13:00"/>
    <d v="2016-02-22T00:00:00"/>
    <d v="2016-02-22T00:00:00"/>
    <x v="514"/>
    <x v="400"/>
    <n v="809102"/>
    <s v="null"/>
  </r>
  <r>
    <n v="809102"/>
    <s v="Hyman "/>
    <s v="Sieren"/>
    <s v="Hyman 83@mail.com"/>
    <x v="2"/>
    <x v="5"/>
    <x v="6"/>
    <x v="3"/>
    <x v="62"/>
    <n v="809102"/>
    <x v="9"/>
    <d v="2016-02-22T19:15:00"/>
    <d v="2016-02-22T00:00:00"/>
    <d v="2016-02-22T00:00:00"/>
    <x v="457"/>
    <x v="401"/>
    <n v="809102"/>
    <s v="null"/>
  </r>
  <r>
    <n v="809102"/>
    <s v="Hyman "/>
    <s v="Sieren"/>
    <s v="Hyman 83@mail.com"/>
    <x v="2"/>
    <x v="5"/>
    <x v="6"/>
    <x v="3"/>
    <x v="62"/>
    <n v="809102"/>
    <x v="2"/>
    <d v="2016-02-20T18:51:00"/>
    <d v="2016-02-20T00:00:00"/>
    <d v="2016-02-20T00:00:00"/>
    <x v="96"/>
    <x v="151"/>
    <n v="809102"/>
    <s v="null"/>
  </r>
  <r>
    <n v="809102"/>
    <s v="Hyman "/>
    <s v="Sieren"/>
    <s v="Hyman 83@mail.com"/>
    <x v="2"/>
    <x v="5"/>
    <x v="6"/>
    <x v="3"/>
    <x v="62"/>
    <n v="809102"/>
    <x v="8"/>
    <d v="2016-02-21T21:36:00"/>
    <d v="2016-02-21T00:00:00"/>
    <d v="2016-02-21T00:00:00"/>
    <x v="515"/>
    <x v="391"/>
    <n v="809102"/>
    <s v="null"/>
  </r>
  <r>
    <n v="791444"/>
    <s v="Romeo "/>
    <s v="Leicht"/>
    <s v="Romeo 373@mail.com"/>
    <x v="2"/>
    <x v="2"/>
    <x v="25"/>
    <x v="2"/>
    <x v="45"/>
    <n v="791444"/>
    <x v="3"/>
    <d v="2016-02-14T19:02:00"/>
    <d v="2016-02-14T00:00:00"/>
    <d v="2016-02-14T00:00:00"/>
    <x v="424"/>
    <x v="89"/>
    <n v="791444"/>
    <s v="null"/>
  </r>
  <r>
    <n v="803663"/>
    <s v="Roxane "/>
    <s v="Lavoie"/>
    <s v="Roxane 185@mailxyz.com"/>
    <x v="1"/>
    <x v="2"/>
    <x v="7"/>
    <x v="2"/>
    <x v="97"/>
    <n v="803663"/>
    <x v="9"/>
    <d v="2016-03-12T20:41:00"/>
    <d v="2016-03-12T00:00:00"/>
    <d v="2016-03-12T00:00:00"/>
    <x v="516"/>
    <x v="402"/>
    <n v="803663"/>
    <s v="null"/>
  </r>
  <r>
    <n v="809111"/>
    <s v="Robby "/>
    <s v="Beville"/>
    <s v="Robby 161@yahoo.com"/>
    <x v="2"/>
    <x v="2"/>
    <x v="15"/>
    <x v="6"/>
    <x v="27"/>
    <n v="809111"/>
    <x v="10"/>
    <d v="2016-02-19T19:41:00"/>
    <d v="2016-02-19T00:00:00"/>
    <d v="2016-02-19T00:00:00"/>
    <x v="242"/>
    <x v="403"/>
    <n v="809111"/>
    <s v="null"/>
  </r>
  <r>
    <n v="802455"/>
    <s v="Romeo "/>
    <s v="Mina"/>
    <s v="Romeo 372@gmail.com"/>
    <x v="2"/>
    <x v="1"/>
    <x v="11"/>
    <x v="2"/>
    <x v="45"/>
    <n v="802455"/>
    <x v="0"/>
    <d v="2016-03-05T15:15:00"/>
    <d v="2016-03-05T00:00:00"/>
    <d v="2016-03-05T00:00:00"/>
    <x v="517"/>
    <x v="404"/>
    <n v="802455"/>
    <s v="null"/>
  </r>
  <r>
    <n v="802455"/>
    <s v="Romeo "/>
    <s v="Mina"/>
    <s v="Romeo 372@gmail.com"/>
    <x v="2"/>
    <x v="1"/>
    <x v="11"/>
    <x v="2"/>
    <x v="45"/>
    <n v="802455"/>
    <x v="1"/>
    <d v="2016-03-05T15:29:00"/>
    <d v="2016-03-05T00:00:00"/>
    <d v="2016-03-05T00:00:00"/>
    <x v="518"/>
    <x v="152"/>
    <n v="802455"/>
    <s v="null"/>
  </r>
  <r>
    <n v="802455"/>
    <s v="Romeo "/>
    <s v="Mina"/>
    <s v="Romeo 372@gmail.com"/>
    <x v="2"/>
    <x v="1"/>
    <x v="11"/>
    <x v="2"/>
    <x v="45"/>
    <n v="802455"/>
    <x v="6"/>
    <d v="2016-03-06T11:13:00"/>
    <d v="2016-03-06T00:00:00"/>
    <d v="2016-03-06T00:00:00"/>
    <x v="519"/>
    <x v="90"/>
    <n v="802455"/>
    <s v="null"/>
  </r>
  <r>
    <n v="809116"/>
    <s v="Jacinto "/>
    <s v="Mcculloch"/>
    <s v="Jacinto 255@mailxyz.com"/>
    <x v="2"/>
    <x v="2"/>
    <x v="32"/>
    <x v="6"/>
    <x v="19"/>
    <n v="809116"/>
    <x v="5"/>
    <d v="2016-02-22T21:55:00"/>
    <d v="2016-02-22T00:00:00"/>
    <d v="2016-02-22T00:00:00"/>
    <x v="68"/>
    <x v="405"/>
    <n v="809116"/>
    <s v="null"/>
  </r>
  <r>
    <n v="809116"/>
    <s v="Jacinto "/>
    <s v="Mcculloch"/>
    <s v="Jacinto 255@mailxyz.com"/>
    <x v="2"/>
    <x v="2"/>
    <x v="32"/>
    <x v="6"/>
    <x v="19"/>
    <n v="809116"/>
    <x v="4"/>
    <d v="2016-01-15T20:43:00"/>
    <d v="2016-01-15T00:00:00"/>
    <d v="2016-01-15T00:00:00"/>
    <x v="520"/>
    <x v="10"/>
    <n v="809116"/>
    <s v="null"/>
  </r>
  <r>
    <n v="809117"/>
    <s v="Minerva "/>
    <s v="Marek"/>
    <s v="Minerva 293@mail.com"/>
    <x v="1"/>
    <x v="2"/>
    <x v="24"/>
    <x v="4"/>
    <x v="98"/>
    <n v="809117"/>
    <x v="0"/>
    <d v="2016-03-06T11:55:00"/>
    <d v="2016-03-06T00:00:00"/>
    <d v="2016-03-06T00:00:00"/>
    <x v="393"/>
    <x v="193"/>
    <n v="809117"/>
    <s v="null"/>
  </r>
  <r>
    <n v="809117"/>
    <s v="Minerva "/>
    <s v="Marek"/>
    <s v="Minerva 293@mail.com"/>
    <x v="1"/>
    <x v="2"/>
    <x v="24"/>
    <x v="4"/>
    <x v="98"/>
    <n v="809117"/>
    <x v="3"/>
    <d v="2016-02-09T17:02:00"/>
    <d v="2016-02-09T00:00:00"/>
    <d v="2016-02-09T00:00:00"/>
    <x v="345"/>
    <x v="93"/>
    <n v="809117"/>
    <s v="null"/>
  </r>
  <r>
    <n v="809117"/>
    <s v="Minerva "/>
    <s v="Marek"/>
    <s v="Minerva 293@mail.com"/>
    <x v="1"/>
    <x v="2"/>
    <x v="24"/>
    <x v="4"/>
    <x v="98"/>
    <n v="809117"/>
    <x v="3"/>
    <d v="2016-03-01T18:11:00"/>
    <d v="2016-03-01T00:00:00"/>
    <d v="2016-03-01T00:00:00"/>
    <x v="85"/>
    <x v="198"/>
    <n v="809117"/>
    <s v="null"/>
  </r>
  <r>
    <n v="809117"/>
    <s v="Minerva "/>
    <s v="Marek"/>
    <s v="Minerva 293@mail.com"/>
    <x v="1"/>
    <x v="2"/>
    <x v="24"/>
    <x v="4"/>
    <x v="98"/>
    <n v="809117"/>
    <x v="10"/>
    <d v="2016-03-01T22:07:00"/>
    <d v="2016-03-01T00:00:00"/>
    <d v="2016-03-01T00:00:00"/>
    <x v="521"/>
    <x v="29"/>
    <n v="809117"/>
    <s v="null"/>
  </r>
  <r>
    <n v="809123"/>
    <s v="Royal "/>
    <s v="Mina"/>
    <s v="Royal 171@yahoo.com"/>
    <x v="2"/>
    <x v="2"/>
    <x v="45"/>
    <x v="2"/>
    <x v="23"/>
    <n v="809123"/>
    <x v="12"/>
    <d v="2016-02-03T22:19:00"/>
    <d v="2016-02-03T00:00:00"/>
    <d v="2016-02-03T00:00:00"/>
    <x v="384"/>
    <x v="94"/>
    <n v="809123"/>
    <s v="null"/>
  </r>
  <r>
    <n v="809125"/>
    <s v="Yong "/>
    <s v="Crotty"/>
    <s v="Yong 483@mail.com"/>
    <x v="2"/>
    <x v="2"/>
    <x v="41"/>
    <x v="5"/>
    <x v="3"/>
    <n v="809125"/>
    <x v="10"/>
    <d v="2016-03-19T19:50:00"/>
    <d v="2016-03-19T00:00:00"/>
    <d v="2016-03-19T00:00:00"/>
    <x v="181"/>
    <x v="406"/>
    <n v="809125"/>
    <s v="null"/>
  </r>
  <r>
    <n v="788827"/>
    <s v="Lane "/>
    <s v="Fudge"/>
    <s v="Lane 112@gmail.com"/>
    <x v="2"/>
    <x v="2"/>
    <x v="11"/>
    <x v="4"/>
    <x v="57"/>
    <n v="788827"/>
    <x v="14"/>
    <d v="2016-02-12T11:59:00"/>
    <d v="2016-02-12T00:00:00"/>
    <d v="2016-02-12T00:00:00"/>
    <x v="522"/>
    <x v="237"/>
    <n v="788827"/>
    <s v="null"/>
  </r>
  <r>
    <n v="788827"/>
    <s v="Lane "/>
    <s v="Fudge"/>
    <s v="Lane 112@gmail.com"/>
    <x v="2"/>
    <x v="2"/>
    <x v="11"/>
    <x v="4"/>
    <x v="57"/>
    <n v="788827"/>
    <x v="3"/>
    <d v="2016-03-10T16:27:00"/>
    <d v="2016-03-10T00:00:00"/>
    <d v="2016-03-10T00:00:00"/>
    <x v="99"/>
    <x v="237"/>
    <n v="788827"/>
    <s v="null"/>
  </r>
  <r>
    <n v="809127"/>
    <s v="Donald "/>
    <s v="Singer"/>
    <s v="Donald 221@yahoo.com"/>
    <x v="2"/>
    <x v="1"/>
    <x v="50"/>
    <x v="2"/>
    <x v="5"/>
    <n v="809127"/>
    <x v="4"/>
    <d v="2016-03-18T12:53:00"/>
    <d v="2016-03-18T00:00:00"/>
    <d v="2016-03-18T00:00:00"/>
    <x v="523"/>
    <x v="407"/>
    <n v="809127"/>
    <s v="null"/>
  </r>
  <r>
    <n v="809127"/>
    <s v="Donald "/>
    <s v="Singer"/>
    <s v="Donald 221@yahoo.com"/>
    <x v="2"/>
    <x v="1"/>
    <x v="50"/>
    <x v="2"/>
    <x v="5"/>
    <n v="809127"/>
    <x v="4"/>
    <d v="2016-02-18T09:00:00"/>
    <d v="2016-02-18T00:00:00"/>
    <d v="2016-02-18T00:00:00"/>
    <x v="437"/>
    <x v="255"/>
    <n v="809127"/>
    <s v="null"/>
  </r>
  <r>
    <n v="793729"/>
    <s v="Markus "/>
    <s v="Langenfeld"/>
    <s v="Markus 195@mailxyz.com"/>
    <x v="2"/>
    <x v="4"/>
    <x v="15"/>
    <x v="4"/>
    <x v="61"/>
    <n v="793729"/>
    <x v="12"/>
    <d v="2016-01-09T09:21:00"/>
    <d v="2016-01-09T00:00:00"/>
    <d v="2016-01-09T00:00:00"/>
    <x v="524"/>
    <x v="408"/>
    <n v="793729"/>
    <s v="null"/>
  </r>
  <r>
    <n v="793729"/>
    <s v="Markus "/>
    <s v="Langenfeld"/>
    <s v="Markus 195@mailxyz.com"/>
    <x v="2"/>
    <x v="4"/>
    <x v="15"/>
    <x v="4"/>
    <x v="61"/>
    <n v="793729"/>
    <x v="2"/>
    <d v="2016-01-14T17:12:00"/>
    <d v="2016-01-14T00:00:00"/>
    <d v="2016-01-14T00:00:00"/>
    <x v="351"/>
    <x v="409"/>
    <n v="793729"/>
    <s v="null"/>
  </r>
  <r>
    <n v="809128"/>
    <s v="Charlie "/>
    <s v="Mastrangelo"/>
    <s v="Charlie 365@mailxyz.com"/>
    <x v="2"/>
    <x v="2"/>
    <x v="25"/>
    <x v="2"/>
    <x v="52"/>
    <n v="809128"/>
    <x v="8"/>
    <d v="2016-02-18T23:16:00"/>
    <d v="2016-02-18T00:00:00"/>
    <d v="2016-02-18T00:00:00"/>
    <x v="525"/>
    <x v="63"/>
    <n v="809128"/>
    <s v="null"/>
  </r>
  <r>
    <n v="809128"/>
    <s v="Charlie "/>
    <s v="Mastrangelo"/>
    <s v="Charlie 365@mailxyz.com"/>
    <x v="2"/>
    <x v="2"/>
    <x v="25"/>
    <x v="2"/>
    <x v="52"/>
    <n v="809128"/>
    <x v="3"/>
    <d v="2016-02-18T23:24:00"/>
    <d v="2016-02-18T00:00:00"/>
    <d v="2016-02-18T00:00:00"/>
    <x v="337"/>
    <x v="10"/>
    <n v="809128"/>
    <s v="null"/>
  </r>
  <r>
    <n v="809128"/>
    <s v="Charlie "/>
    <s v="Mastrangelo"/>
    <s v="Charlie 365@mailxyz.com"/>
    <x v="2"/>
    <x v="2"/>
    <x v="25"/>
    <x v="2"/>
    <x v="52"/>
    <n v="809128"/>
    <x v="4"/>
    <d v="2016-01-13T14:43:00"/>
    <d v="2016-01-13T00:00:00"/>
    <d v="2016-01-13T00:00:00"/>
    <x v="186"/>
    <x v="410"/>
    <n v="809128"/>
    <s v="null"/>
  </r>
  <r>
    <n v="809128"/>
    <s v="Charlie "/>
    <s v="Mastrangelo"/>
    <s v="Charlie 365@mailxyz.com"/>
    <x v="2"/>
    <x v="2"/>
    <x v="25"/>
    <x v="2"/>
    <x v="52"/>
    <n v="809128"/>
    <x v="8"/>
    <d v="2016-01-17T07:02:00"/>
    <d v="2016-01-17T00:00:00"/>
    <d v="2016-01-17T00:00:00"/>
    <x v="43"/>
    <x v="16"/>
    <n v="809128"/>
    <s v="null"/>
  </r>
  <r>
    <n v="809128"/>
    <s v="Charlie "/>
    <s v="Mastrangelo"/>
    <s v="Charlie 365@mailxyz.com"/>
    <x v="2"/>
    <x v="2"/>
    <x v="25"/>
    <x v="2"/>
    <x v="52"/>
    <n v="809128"/>
    <x v="8"/>
    <d v="2016-01-16T11:35:00"/>
    <d v="2016-01-16T00:00:00"/>
    <d v="2016-01-16T00:00:00"/>
    <x v="350"/>
    <x v="58"/>
    <n v="809128"/>
    <s v="null"/>
  </r>
  <r>
    <n v="809128"/>
    <s v="Charlie "/>
    <s v="Mastrangelo"/>
    <s v="Charlie 365@mailxyz.com"/>
    <x v="2"/>
    <x v="2"/>
    <x v="25"/>
    <x v="2"/>
    <x v="52"/>
    <n v="809128"/>
    <x v="10"/>
    <d v="2016-01-12T17:12:00"/>
    <d v="2016-01-12T00:00:00"/>
    <d v="2016-01-12T00:00:00"/>
    <x v="351"/>
    <x v="411"/>
    <n v="809128"/>
    <s v="null"/>
  </r>
  <r>
    <n v="809128"/>
    <s v="Charlie "/>
    <s v="Mastrangelo"/>
    <s v="Charlie 365@mailxyz.com"/>
    <x v="2"/>
    <x v="2"/>
    <x v="25"/>
    <x v="2"/>
    <x v="52"/>
    <n v="809128"/>
    <x v="6"/>
    <d v="2016-01-12T20:44:00"/>
    <d v="2016-01-12T00:00:00"/>
    <d v="2016-01-12T00:00:00"/>
    <x v="526"/>
    <x v="299"/>
    <n v="809128"/>
    <s v="null"/>
  </r>
  <r>
    <n v="809128"/>
    <s v="Charlie "/>
    <s v="Mastrangelo"/>
    <s v="Charlie 365@mailxyz.com"/>
    <x v="2"/>
    <x v="2"/>
    <x v="25"/>
    <x v="2"/>
    <x v="52"/>
    <n v="809128"/>
    <x v="9"/>
    <d v="2016-01-12T19:58:00"/>
    <d v="2016-01-12T00:00:00"/>
    <d v="2016-01-12T00:00:00"/>
    <x v="527"/>
    <x v="50"/>
    <n v="809128"/>
    <s v="null"/>
  </r>
  <r>
    <n v="809128"/>
    <s v="Charlie "/>
    <s v="Mastrangelo"/>
    <s v="Charlie 365@mailxyz.com"/>
    <x v="2"/>
    <x v="2"/>
    <x v="25"/>
    <x v="2"/>
    <x v="52"/>
    <n v="809128"/>
    <x v="10"/>
    <d v="2016-01-14T16:58:00"/>
    <d v="2016-01-14T00:00:00"/>
    <d v="2016-01-14T00:00:00"/>
    <x v="528"/>
    <x v="412"/>
    <n v="809128"/>
    <s v="null"/>
  </r>
  <r>
    <n v="809128"/>
    <s v="Charlie "/>
    <s v="Mastrangelo"/>
    <s v="Charlie 365@mailxyz.com"/>
    <x v="2"/>
    <x v="2"/>
    <x v="25"/>
    <x v="2"/>
    <x v="52"/>
    <n v="809128"/>
    <x v="8"/>
    <d v="2016-03-27T22:20:00"/>
    <d v="2016-03-27T00:00:00"/>
    <d v="2016-03-27T00:00:00"/>
    <x v="12"/>
    <x v="413"/>
    <n v="809128"/>
    <s v="null"/>
  </r>
  <r>
    <n v="809128"/>
    <s v="Charlie "/>
    <s v="Mastrangelo"/>
    <s v="Charlie 365@mailxyz.com"/>
    <x v="2"/>
    <x v="2"/>
    <x v="25"/>
    <x v="2"/>
    <x v="52"/>
    <n v="809128"/>
    <x v="8"/>
    <d v="2016-03-26T11:21:00"/>
    <d v="2016-03-26T00:00:00"/>
    <d v="2016-03-26T00:00:00"/>
    <x v="529"/>
    <x v="414"/>
    <n v="809128"/>
    <s v="null"/>
  </r>
  <r>
    <n v="809133"/>
    <s v="Romeo "/>
    <s v="Nicholls"/>
    <s v="Romeo 372@gmail.com"/>
    <x v="2"/>
    <x v="5"/>
    <x v="7"/>
    <x v="1"/>
    <x v="45"/>
    <n v="809133"/>
    <x v="0"/>
    <d v="2016-02-21T16:15:00"/>
    <d v="2016-02-21T00:00:00"/>
    <d v="2016-02-21T00:00:00"/>
    <x v="329"/>
    <x v="415"/>
    <n v="809133"/>
    <s v="null"/>
  </r>
  <r>
    <n v="809133"/>
    <s v="Romeo "/>
    <s v="Nicholls"/>
    <s v="Romeo 372@gmail.com"/>
    <x v="2"/>
    <x v="5"/>
    <x v="7"/>
    <x v="1"/>
    <x v="45"/>
    <n v="809133"/>
    <x v="0"/>
    <d v="2016-03-11T10:51:00"/>
    <d v="2016-03-11T00:00:00"/>
    <d v="2016-03-11T00:00:00"/>
    <x v="530"/>
    <x v="416"/>
    <n v="809133"/>
    <s v="null"/>
  </r>
  <r>
    <n v="773728"/>
    <s v="Dee "/>
    <s v="Luthy"/>
    <s v="Dee 213@mail.com"/>
    <x v="2"/>
    <x v="0"/>
    <x v="15"/>
    <x v="2"/>
    <x v="20"/>
    <n v="773728"/>
    <x v="2"/>
    <d v="2016-02-06T18:28:00"/>
    <d v="2016-02-06T00:00:00"/>
    <d v="2016-02-06T00:00:00"/>
    <x v="531"/>
    <x v="108"/>
    <n v="773728"/>
    <s v="null"/>
  </r>
  <r>
    <n v="809139"/>
    <s v="Loyd "/>
    <s v="Biggers"/>
    <s v="Loyd 495@mailxyz.com"/>
    <x v="2"/>
    <x v="2"/>
    <x v="11"/>
    <x v="6"/>
    <x v="24"/>
    <n v="809139"/>
    <x v="3"/>
    <d v="2016-02-21T22:43:00"/>
    <d v="2016-02-21T00:00:00"/>
    <d v="2016-02-21T00:00:00"/>
    <x v="532"/>
    <x v="10"/>
    <n v="809139"/>
    <s v="null"/>
  </r>
  <r>
    <n v="809139"/>
    <s v="Loyd "/>
    <s v="Biggers"/>
    <s v="Loyd 495@mailxyz.com"/>
    <x v="2"/>
    <x v="2"/>
    <x v="11"/>
    <x v="6"/>
    <x v="24"/>
    <n v="809139"/>
    <x v="9"/>
    <d v="2016-01-06T18:58:00"/>
    <d v="2016-01-06T00:00:00"/>
    <d v="2016-01-06T00:00:00"/>
    <x v="66"/>
    <x v="138"/>
    <n v="809139"/>
    <s v="null"/>
  </r>
  <r>
    <n v="809139"/>
    <s v="Loyd "/>
    <s v="Biggers"/>
    <s v="Loyd 495@mailxyz.com"/>
    <x v="2"/>
    <x v="2"/>
    <x v="11"/>
    <x v="6"/>
    <x v="24"/>
    <n v="809139"/>
    <x v="8"/>
    <d v="2016-01-07T19:00:00"/>
    <d v="2016-01-07T00:00:00"/>
    <d v="2016-01-07T00:00:00"/>
    <x v="78"/>
    <x v="160"/>
    <n v="809139"/>
    <s v="null"/>
  </r>
  <r>
    <n v="809139"/>
    <s v="Loyd "/>
    <s v="Biggers"/>
    <s v="Loyd 495@mailxyz.com"/>
    <x v="2"/>
    <x v="2"/>
    <x v="11"/>
    <x v="6"/>
    <x v="24"/>
    <n v="809139"/>
    <x v="2"/>
    <d v="2016-01-31T15:00:00"/>
    <d v="2016-01-31T00:00:00"/>
    <d v="2016-01-31T00:00:00"/>
    <x v="442"/>
    <x v="394"/>
    <n v="809139"/>
    <s v="null"/>
  </r>
  <r>
    <n v="809139"/>
    <s v="Loyd "/>
    <s v="Biggers"/>
    <s v="Loyd 495@mailxyz.com"/>
    <x v="2"/>
    <x v="2"/>
    <x v="11"/>
    <x v="6"/>
    <x v="24"/>
    <n v="809139"/>
    <x v="3"/>
    <d v="2016-01-28T15:58:00"/>
    <d v="2016-01-28T00:00:00"/>
    <d v="2016-01-28T00:00:00"/>
    <x v="71"/>
    <x v="417"/>
    <n v="809139"/>
    <s v="null"/>
  </r>
  <r>
    <n v="809139"/>
    <s v="Loyd "/>
    <s v="Biggers"/>
    <s v="Loyd 495@mailxyz.com"/>
    <x v="2"/>
    <x v="2"/>
    <x v="11"/>
    <x v="6"/>
    <x v="24"/>
    <n v="809139"/>
    <x v="10"/>
    <d v="2016-02-12T10:53:00"/>
    <d v="2016-02-12T00:00:00"/>
    <d v="2016-02-12T00:00:00"/>
    <x v="426"/>
    <x v="418"/>
    <n v="809139"/>
    <s v="null"/>
  </r>
  <r>
    <n v="777290"/>
    <s v="Cody "/>
    <s v="Caves"/>
    <s v="Cody 123@mail.com"/>
    <x v="2"/>
    <x v="1"/>
    <x v="5"/>
    <x v="2"/>
    <x v="66"/>
    <n v="777290"/>
    <x v="12"/>
    <d v="2016-01-31T20:58:00"/>
    <d v="2016-01-31T00:00:00"/>
    <d v="2016-01-31T00:00:00"/>
    <x v="533"/>
    <x v="29"/>
    <n v="777290"/>
    <s v="null"/>
  </r>
  <r>
    <n v="809143"/>
    <s v="Filiberto "/>
    <s v="Marek"/>
    <s v="Filiberto 45@mailxyz.com"/>
    <x v="2"/>
    <x v="0"/>
    <x v="4"/>
    <x v="2"/>
    <x v="7"/>
    <n v="809143"/>
    <x v="2"/>
    <d v="2016-02-18T15:32:00"/>
    <d v="2016-02-18T00:00:00"/>
    <d v="2016-02-18T00:00:00"/>
    <x v="534"/>
    <x v="27"/>
    <n v="809143"/>
    <s v="null"/>
  </r>
  <r>
    <n v="809143"/>
    <s v="Filiberto "/>
    <s v="Marek"/>
    <s v="Filiberto 45@mailxyz.com"/>
    <x v="2"/>
    <x v="0"/>
    <x v="4"/>
    <x v="2"/>
    <x v="7"/>
    <n v="809143"/>
    <x v="9"/>
    <d v="2016-02-18T15:42:00"/>
    <d v="2016-02-18T00:00:00"/>
    <d v="2016-02-18T00:00:00"/>
    <x v="535"/>
    <x v="419"/>
    <n v="809143"/>
    <s v="null"/>
  </r>
  <r>
    <n v="809147"/>
    <s v="Wilburn "/>
    <s v="Sieren"/>
    <s v="Wilburn 305@mailxyz.com"/>
    <x v="2"/>
    <x v="0"/>
    <x v="42"/>
    <x v="1"/>
    <x v="37"/>
    <n v="809147"/>
    <x v="12"/>
    <d v="2016-02-24T18:58:00"/>
    <d v="2016-02-24T00:00:00"/>
    <d v="2016-02-24T00:00:00"/>
    <x v="66"/>
    <x v="420"/>
    <n v="809147"/>
    <s v="null"/>
  </r>
  <r>
    <n v="809147"/>
    <s v="Wilburn "/>
    <s v="Sieren"/>
    <s v="Wilburn 305@mailxyz.com"/>
    <x v="2"/>
    <x v="0"/>
    <x v="42"/>
    <x v="1"/>
    <x v="37"/>
    <n v="809147"/>
    <x v="3"/>
    <d v="2016-01-09T22:53:00"/>
    <d v="2016-01-09T00:00:00"/>
    <d v="2016-01-09T00:00:00"/>
    <x v="501"/>
    <x v="93"/>
    <n v="809147"/>
    <s v="null"/>
  </r>
  <r>
    <n v="809147"/>
    <s v="Wilburn "/>
    <s v="Sieren"/>
    <s v="Wilburn 305@mailxyz.com"/>
    <x v="2"/>
    <x v="0"/>
    <x v="42"/>
    <x v="1"/>
    <x v="37"/>
    <n v="809147"/>
    <x v="12"/>
    <d v="2016-02-12T08:36:00"/>
    <d v="2016-02-12T00:00:00"/>
    <d v="2016-02-12T00:00:00"/>
    <x v="536"/>
    <x v="10"/>
    <n v="809147"/>
    <s v="null"/>
  </r>
  <r>
    <n v="788844"/>
    <s v="Hugh"/>
    <s v="Leicht"/>
    <s v="Hugh13@mail.com"/>
    <x v="2"/>
    <x v="2"/>
    <x v="11"/>
    <x v="2"/>
    <x v="14"/>
    <n v="788844"/>
    <x v="8"/>
    <d v="2016-02-11T23:55:00"/>
    <d v="2016-02-11T00:00:00"/>
    <d v="2016-02-11T00:00:00"/>
    <x v="537"/>
    <x v="421"/>
    <n v="788844"/>
    <s v="null"/>
  </r>
  <r>
    <n v="788844"/>
    <s v="Hugh"/>
    <s v="Leicht"/>
    <s v="Hugh13@mail.com"/>
    <x v="2"/>
    <x v="2"/>
    <x v="11"/>
    <x v="2"/>
    <x v="14"/>
    <n v="788844"/>
    <x v="3"/>
    <d v="2016-02-17T18:57:00"/>
    <d v="2016-02-17T00:00:00"/>
    <d v="2016-02-17T00:00:00"/>
    <x v="538"/>
    <x v="314"/>
    <n v="788844"/>
    <s v="null"/>
  </r>
  <r>
    <n v="788844"/>
    <s v="Hugh"/>
    <s v="Leicht"/>
    <s v="Hugh13@mail.com"/>
    <x v="2"/>
    <x v="2"/>
    <x v="11"/>
    <x v="2"/>
    <x v="14"/>
    <n v="788844"/>
    <x v="11"/>
    <d v="2016-02-12T20:27:00"/>
    <d v="2016-02-12T00:00:00"/>
    <d v="2016-02-12T00:00:00"/>
    <x v="218"/>
    <x v="57"/>
    <n v="788844"/>
    <s v="null"/>
  </r>
  <r>
    <n v="788844"/>
    <s v="Hugh"/>
    <s v="Leicht"/>
    <s v="Hugh13@mail.com"/>
    <x v="2"/>
    <x v="2"/>
    <x v="11"/>
    <x v="2"/>
    <x v="14"/>
    <n v="788844"/>
    <x v="3"/>
    <d v="2016-02-12T01:02:00"/>
    <d v="2016-02-12T00:00:00"/>
    <d v="2016-02-12T00:00:00"/>
    <x v="539"/>
    <x v="422"/>
    <n v="788844"/>
    <s v="null"/>
  </r>
  <r>
    <n v="779576"/>
    <s v="Eli "/>
    <s v="Curran"/>
    <s v="Eli 293@mail.com"/>
    <x v="2"/>
    <x v="0"/>
    <x v="9"/>
    <x v="3"/>
    <x v="44"/>
    <n v="779576"/>
    <x v="8"/>
    <d v="2016-01-21T14:14:00"/>
    <d v="2016-01-21T00:00:00"/>
    <d v="2016-01-21T00:00:00"/>
    <x v="158"/>
    <x v="329"/>
    <n v="779576"/>
    <s v="null"/>
  </r>
  <r>
    <n v="779576"/>
    <s v="Eli "/>
    <s v="Curran"/>
    <s v="Eli 293@mail.com"/>
    <x v="2"/>
    <x v="0"/>
    <x v="9"/>
    <x v="3"/>
    <x v="44"/>
    <n v="779576"/>
    <x v="2"/>
    <d v="2016-01-20T08:07:00"/>
    <d v="2016-01-20T00:00:00"/>
    <d v="2016-01-20T00:00:00"/>
    <x v="391"/>
    <x v="12"/>
    <n v="779576"/>
    <s v="null"/>
  </r>
  <r>
    <n v="779576"/>
    <s v="Eli "/>
    <s v="Curran"/>
    <s v="Eli 293@mail.com"/>
    <x v="2"/>
    <x v="0"/>
    <x v="9"/>
    <x v="3"/>
    <x v="44"/>
    <n v="779576"/>
    <x v="9"/>
    <d v="2016-01-26T23:35:00"/>
    <d v="2016-01-26T00:00:00"/>
    <d v="2016-01-26T00:00:00"/>
    <x v="354"/>
    <x v="423"/>
    <n v="779576"/>
    <s v="null"/>
  </r>
  <r>
    <n v="779576"/>
    <s v="Eli "/>
    <s v="Curran"/>
    <s v="Eli 293@mail.com"/>
    <x v="2"/>
    <x v="0"/>
    <x v="9"/>
    <x v="3"/>
    <x v="44"/>
    <n v="779576"/>
    <x v="8"/>
    <d v="2016-01-18T23:10:00"/>
    <d v="2016-01-18T00:00:00"/>
    <d v="2016-01-18T00:00:00"/>
    <x v="452"/>
    <x v="102"/>
    <n v="779576"/>
    <s v="null"/>
  </r>
  <r>
    <n v="779576"/>
    <s v="Eli "/>
    <s v="Curran"/>
    <s v="Eli 293@mail.com"/>
    <x v="2"/>
    <x v="0"/>
    <x v="9"/>
    <x v="3"/>
    <x v="44"/>
    <n v="779576"/>
    <x v="4"/>
    <d v="2016-01-21T14:35:00"/>
    <d v="2016-01-21T00:00:00"/>
    <d v="2016-01-21T00:00:00"/>
    <x v="540"/>
    <x v="37"/>
    <n v="779576"/>
    <s v="null"/>
  </r>
  <r>
    <n v="779588"/>
    <s v="Randy "/>
    <s v="Pascarella"/>
    <s v="Randy 394@abcmail.com"/>
    <x v="2"/>
    <x v="1"/>
    <x v="13"/>
    <x v="2"/>
    <x v="28"/>
    <n v="779588"/>
    <x v="9"/>
    <d v="2016-02-26T13:24:00"/>
    <d v="2016-02-26T00:00:00"/>
    <d v="2016-02-26T00:00:00"/>
    <x v="541"/>
    <x v="7"/>
    <n v="779588"/>
    <s v="null"/>
  </r>
  <r>
    <n v="779592"/>
    <s v="Luanna "/>
    <s v="Hoadley"/>
    <s v="Luanna 402@gmail.com"/>
    <x v="1"/>
    <x v="2"/>
    <x v="18"/>
    <x v="2"/>
    <x v="99"/>
    <n v="779592"/>
    <x v="3"/>
    <d v="2016-01-24T18:35:00"/>
    <d v="2016-01-24T00:00:00"/>
    <d v="2016-01-24T00:00:00"/>
    <x v="542"/>
    <x v="331"/>
    <n v="779592"/>
    <s v="null"/>
  </r>
  <r>
    <n v="779592"/>
    <s v="Luanna "/>
    <s v="Hoadley"/>
    <s v="Luanna 402@gmail.com"/>
    <x v="1"/>
    <x v="2"/>
    <x v="18"/>
    <x v="2"/>
    <x v="99"/>
    <n v="779592"/>
    <x v="10"/>
    <d v="2016-01-30T16:04:00"/>
    <d v="2016-01-30T00:00:00"/>
    <d v="2016-01-30T00:00:00"/>
    <x v="543"/>
    <x v="424"/>
    <n v="779592"/>
    <s v="null"/>
  </r>
  <r>
    <n v="779592"/>
    <s v="Luanna "/>
    <s v="Hoadley"/>
    <s v="Luanna 402@gmail.com"/>
    <x v="1"/>
    <x v="2"/>
    <x v="18"/>
    <x v="2"/>
    <x v="99"/>
    <n v="779592"/>
    <x v="10"/>
    <d v="2016-02-08T06:52:00"/>
    <d v="2016-02-08T00:00:00"/>
    <d v="2016-02-08T00:00:00"/>
    <x v="544"/>
    <x v="425"/>
    <n v="779592"/>
    <s v="null"/>
  </r>
  <r>
    <n v="779618"/>
    <s v="Stefan "/>
    <s v="Marek"/>
    <s v="Stefan 462@gmail.com"/>
    <x v="2"/>
    <x v="2"/>
    <x v="18"/>
    <x v="9"/>
    <x v="26"/>
    <n v="779618"/>
    <x v="10"/>
    <d v="2016-01-24T16:19:00"/>
    <d v="2016-01-24T00:00:00"/>
    <d v="2016-01-24T00:00:00"/>
    <x v="545"/>
    <x v="120"/>
    <n v="779618"/>
    <s v="null"/>
  </r>
  <r>
    <n v="779618"/>
    <s v="Stefan "/>
    <s v="Marek"/>
    <s v="Stefan 462@gmail.com"/>
    <x v="2"/>
    <x v="2"/>
    <x v="18"/>
    <x v="9"/>
    <x v="26"/>
    <n v="779618"/>
    <x v="3"/>
    <d v="2016-01-25T20:21:00"/>
    <d v="2016-01-25T00:00:00"/>
    <d v="2016-01-25T00:00:00"/>
    <x v="152"/>
    <x v="93"/>
    <n v="779618"/>
    <s v="null"/>
  </r>
  <r>
    <n v="779642"/>
    <s v="Lane "/>
    <s v="Beville"/>
    <s v="Lane 115@mailxyz.com"/>
    <x v="2"/>
    <x v="2"/>
    <x v="34"/>
    <x v="2"/>
    <x v="57"/>
    <n v="779642"/>
    <x v="4"/>
    <d v="2016-01-25T23:25:00"/>
    <d v="2016-01-25T00:00:00"/>
    <d v="2016-01-25T00:00:00"/>
    <x v="546"/>
    <x v="112"/>
    <n v="779642"/>
    <s v="null"/>
  </r>
  <r>
    <n v="779642"/>
    <s v="Lane "/>
    <s v="Beville"/>
    <s v="Lane 115@mailxyz.com"/>
    <x v="2"/>
    <x v="2"/>
    <x v="34"/>
    <x v="2"/>
    <x v="57"/>
    <n v="779642"/>
    <x v="3"/>
    <d v="2016-01-21T23:17:00"/>
    <d v="2016-01-21T00:00:00"/>
    <d v="2016-01-21T00:00:00"/>
    <x v="188"/>
    <x v="231"/>
    <n v="779642"/>
    <s v="null"/>
  </r>
  <r>
    <n v="779642"/>
    <s v="Lane "/>
    <s v="Beville"/>
    <s v="Lane 115@mailxyz.com"/>
    <x v="2"/>
    <x v="2"/>
    <x v="34"/>
    <x v="2"/>
    <x v="57"/>
    <n v="779642"/>
    <x v="3"/>
    <d v="2016-01-27T23:50:00"/>
    <d v="2016-01-27T00:00:00"/>
    <d v="2016-01-27T00:00:00"/>
    <x v="547"/>
    <x v="93"/>
    <n v="779642"/>
    <s v="null"/>
  </r>
  <r>
    <n v="779642"/>
    <s v="Lane "/>
    <s v="Beville"/>
    <s v="Lane 115@mailxyz.com"/>
    <x v="2"/>
    <x v="2"/>
    <x v="34"/>
    <x v="2"/>
    <x v="57"/>
    <n v="779642"/>
    <x v="3"/>
    <d v="2016-01-22T18:02:00"/>
    <d v="2016-01-22T00:00:00"/>
    <d v="2016-01-22T00:00:00"/>
    <x v="548"/>
    <x v="66"/>
    <n v="779642"/>
    <s v="null"/>
  </r>
  <r>
    <n v="779656"/>
    <s v="Blanca "/>
    <s v="Slane"/>
    <s v="Blanca 403@mail.com"/>
    <x v="1"/>
    <x v="2"/>
    <x v="28"/>
    <x v="2"/>
    <x v="100"/>
    <n v="779656"/>
    <x v="8"/>
    <d v="2016-01-15T09:57:00"/>
    <d v="2016-01-15T00:00:00"/>
    <d v="2016-01-15T00:00:00"/>
    <x v="549"/>
    <x v="426"/>
    <n v="779656"/>
    <s v="null"/>
  </r>
  <r>
    <n v="779656"/>
    <s v="Blanca "/>
    <s v="Slane"/>
    <s v="Blanca 403@mail.com"/>
    <x v="1"/>
    <x v="2"/>
    <x v="28"/>
    <x v="2"/>
    <x v="100"/>
    <n v="779656"/>
    <x v="10"/>
    <d v="2016-01-24T18:32:00"/>
    <d v="2016-01-24T00:00:00"/>
    <d v="2016-01-24T00:00:00"/>
    <x v="441"/>
    <x v="10"/>
    <n v="779656"/>
    <s v="null"/>
  </r>
  <r>
    <n v="779656"/>
    <s v="Blanca "/>
    <s v="Slane"/>
    <s v="Blanca 403@mail.com"/>
    <x v="1"/>
    <x v="2"/>
    <x v="28"/>
    <x v="2"/>
    <x v="100"/>
    <n v="779656"/>
    <x v="10"/>
    <d v="2016-01-24T22:10:00"/>
    <d v="2016-01-24T00:00:00"/>
    <d v="2016-01-24T00:00:00"/>
    <x v="59"/>
    <x v="10"/>
    <n v="779656"/>
    <s v="null"/>
  </r>
  <r>
    <n v="779656"/>
    <s v="Blanca "/>
    <s v="Slane"/>
    <s v="Blanca 403@mail.com"/>
    <x v="1"/>
    <x v="2"/>
    <x v="28"/>
    <x v="2"/>
    <x v="100"/>
    <n v="779656"/>
    <x v="10"/>
    <d v="2016-02-09T21:34:00"/>
    <d v="2016-02-09T00:00:00"/>
    <d v="2016-02-09T00:00:00"/>
    <x v="193"/>
    <x v="10"/>
    <n v="779656"/>
    <s v="null"/>
  </r>
  <r>
    <n v="779656"/>
    <s v="Blanca "/>
    <s v="Slane"/>
    <s v="Blanca 403@mail.com"/>
    <x v="1"/>
    <x v="2"/>
    <x v="28"/>
    <x v="2"/>
    <x v="100"/>
    <n v="779656"/>
    <x v="10"/>
    <d v="2016-02-08T21:51:00"/>
    <d v="2016-02-08T00:00:00"/>
    <d v="2016-02-08T00:00:00"/>
    <x v="550"/>
    <x v="10"/>
    <n v="779656"/>
    <s v="null"/>
  </r>
  <r>
    <n v="779656"/>
    <s v="Blanca "/>
    <s v="Slane"/>
    <s v="Blanca 403@mail.com"/>
    <x v="1"/>
    <x v="2"/>
    <x v="28"/>
    <x v="2"/>
    <x v="100"/>
    <n v="779656"/>
    <x v="10"/>
    <d v="2016-02-08T20:28:00"/>
    <d v="2016-02-08T00:00:00"/>
    <d v="2016-02-08T00:00:00"/>
    <x v="46"/>
    <x v="427"/>
    <n v="779656"/>
    <s v="null"/>
  </r>
  <r>
    <n v="791470"/>
    <s v="Gretta "/>
    <s v="Mosser"/>
    <s v="Gretta 435@mailxyz.com"/>
    <x v="1"/>
    <x v="4"/>
    <x v="7"/>
    <x v="2"/>
    <x v="101"/>
    <n v="791470"/>
    <x v="6"/>
    <d v="2016-02-14T17:09:00"/>
    <d v="2016-02-14T00:00:00"/>
    <d v="2016-02-14T00:00:00"/>
    <x v="551"/>
    <x v="167"/>
    <n v="791470"/>
    <s v="null"/>
  </r>
  <r>
    <n v="809148"/>
    <s v="Efren "/>
    <s v="Sytsma"/>
    <s v="Efren 132@gmail.com"/>
    <x v="2"/>
    <x v="5"/>
    <x v="12"/>
    <x v="6"/>
    <x v="53"/>
    <n v="809148"/>
    <x v="0"/>
    <d v="2016-03-13T15:17:00"/>
    <d v="2016-03-13T00:00:00"/>
    <d v="2016-03-13T00:00:00"/>
    <x v="552"/>
    <x v="428"/>
    <n v="809148"/>
    <s v="null"/>
  </r>
  <r>
    <n v="809148"/>
    <s v="Efren "/>
    <s v="Sytsma"/>
    <s v="Efren 132@gmail.com"/>
    <x v="2"/>
    <x v="5"/>
    <x v="12"/>
    <x v="6"/>
    <x v="53"/>
    <n v="809148"/>
    <x v="8"/>
    <d v="2016-02-21T00:40:00"/>
    <d v="2016-02-21T00:00:00"/>
    <d v="2016-02-21T00:00:00"/>
    <x v="553"/>
    <x v="23"/>
    <n v="809148"/>
    <s v="null"/>
  </r>
  <r>
    <n v="809148"/>
    <s v="Efren "/>
    <s v="Sytsma"/>
    <s v="Efren 132@gmail.com"/>
    <x v="2"/>
    <x v="5"/>
    <x v="12"/>
    <x v="6"/>
    <x v="53"/>
    <n v="809148"/>
    <x v="0"/>
    <d v="2016-02-27T12:40:00"/>
    <d v="2016-02-27T00:00:00"/>
    <d v="2016-02-27T00:00:00"/>
    <x v="554"/>
    <x v="429"/>
    <n v="809148"/>
    <s v="null"/>
  </r>
  <r>
    <n v="802478"/>
    <s v="Hugh"/>
    <s v="Sieren"/>
    <s v="Hugh13@mail.com"/>
    <x v="2"/>
    <x v="1"/>
    <x v="7"/>
    <x v="4"/>
    <x v="14"/>
    <n v="802478"/>
    <x v="5"/>
    <d v="2016-03-23T14:37:00"/>
    <d v="2016-03-23T00:00:00"/>
    <d v="2016-03-23T00:00:00"/>
    <x v="243"/>
    <x v="302"/>
    <n v="802478"/>
    <s v="null"/>
  </r>
  <r>
    <n v="802478"/>
    <s v="Hugh"/>
    <s v="Sieren"/>
    <s v="Hugh13@mail.com"/>
    <x v="2"/>
    <x v="1"/>
    <x v="7"/>
    <x v="4"/>
    <x v="14"/>
    <n v="802478"/>
    <x v="1"/>
    <d v="2016-03-21T13:41:00"/>
    <d v="2016-03-21T00:00:00"/>
    <d v="2016-03-21T00:00:00"/>
    <x v="255"/>
    <x v="129"/>
    <n v="802478"/>
    <s v="null"/>
  </r>
  <r>
    <n v="809151"/>
    <s v="Wilburn "/>
    <s v="Mcculloch"/>
    <s v="Wilburn 303@mail.com"/>
    <x v="2"/>
    <x v="4"/>
    <x v="30"/>
    <x v="4"/>
    <x v="37"/>
    <n v="809151"/>
    <x v="0"/>
    <d v="2016-02-19T17:13:00"/>
    <d v="2016-02-19T00:00:00"/>
    <d v="2016-02-19T00:00:00"/>
    <x v="555"/>
    <x v="61"/>
    <n v="809151"/>
    <s v="null"/>
  </r>
  <r>
    <n v="809151"/>
    <s v="Wilburn "/>
    <s v="Mcculloch"/>
    <s v="Wilburn 303@mail.com"/>
    <x v="2"/>
    <x v="4"/>
    <x v="30"/>
    <x v="4"/>
    <x v="37"/>
    <n v="809151"/>
    <x v="16"/>
    <d v="2016-02-18T10:41:00"/>
    <d v="2016-02-18T00:00:00"/>
    <d v="2016-02-18T00:00:00"/>
    <x v="556"/>
    <x v="38"/>
    <n v="809151"/>
    <s v="null"/>
  </r>
  <r>
    <n v="809152"/>
    <s v="Samuel "/>
    <s v="Mcclaine"/>
    <s v="Samuel 261@yahoo.com"/>
    <x v="2"/>
    <x v="2"/>
    <x v="17"/>
    <x v="2"/>
    <x v="72"/>
    <n v="809152"/>
    <x v="9"/>
    <d v="2016-03-13T16:45:00"/>
    <d v="2016-03-13T00:00:00"/>
    <d v="2016-03-13T00:00:00"/>
    <x v="557"/>
    <x v="430"/>
    <n v="809152"/>
    <s v="null"/>
  </r>
  <r>
    <n v="809152"/>
    <s v="Samuel "/>
    <s v="Mcclaine"/>
    <s v="Samuel 261@yahoo.com"/>
    <x v="2"/>
    <x v="2"/>
    <x v="17"/>
    <x v="2"/>
    <x v="72"/>
    <n v="809152"/>
    <x v="3"/>
    <d v="2016-03-19T07:40:00"/>
    <d v="2016-03-19T00:00:00"/>
    <d v="2016-03-19T00:00:00"/>
    <x v="204"/>
    <x v="394"/>
    <n v="809152"/>
    <s v="null"/>
  </r>
  <r>
    <n v="809152"/>
    <s v="Samuel "/>
    <s v="Mcclaine"/>
    <s v="Samuel 261@yahoo.com"/>
    <x v="2"/>
    <x v="2"/>
    <x v="17"/>
    <x v="2"/>
    <x v="72"/>
    <n v="809152"/>
    <x v="3"/>
    <d v="2016-03-15T11:58:00"/>
    <d v="2016-03-15T00:00:00"/>
    <d v="2016-03-15T00:00:00"/>
    <x v="486"/>
    <x v="154"/>
    <n v="809152"/>
    <s v="null"/>
  </r>
  <r>
    <n v="809152"/>
    <s v="Samuel "/>
    <s v="Mcclaine"/>
    <s v="Samuel 261@yahoo.com"/>
    <x v="2"/>
    <x v="2"/>
    <x v="17"/>
    <x v="2"/>
    <x v="72"/>
    <n v="809152"/>
    <x v="3"/>
    <d v="2016-03-27T15:07:00"/>
    <d v="2016-03-27T00:00:00"/>
    <d v="2016-03-27T00:00:00"/>
    <x v="498"/>
    <x v="431"/>
    <n v="809152"/>
    <s v="null"/>
  </r>
  <r>
    <n v="786241"/>
    <s v="Valentine "/>
    <s v="Paradis"/>
    <s v="Valentine 475@mailxyz.com"/>
    <x v="2"/>
    <x v="2"/>
    <x v="39"/>
    <x v="2"/>
    <x v="30"/>
    <n v="786241"/>
    <x v="3"/>
    <d v="2016-02-11T21:47:00"/>
    <d v="2016-02-11T00:00:00"/>
    <d v="2016-02-11T00:00:00"/>
    <x v="558"/>
    <x v="89"/>
    <n v="786241"/>
    <s v="null"/>
  </r>
  <r>
    <n v="809156"/>
    <s v="Hugh"/>
    <s v="Styer"/>
    <s v="Hugh14@abcmail.com"/>
    <x v="2"/>
    <x v="2"/>
    <x v="17"/>
    <x v="5"/>
    <x v="14"/>
    <n v="809156"/>
    <x v="9"/>
    <d v="2016-03-02T19:49:00"/>
    <d v="2016-03-02T00:00:00"/>
    <d v="2016-03-02T00:00:00"/>
    <x v="57"/>
    <x v="2"/>
    <n v="809156"/>
    <s v="null"/>
  </r>
  <r>
    <n v="809156"/>
    <s v="Hugh"/>
    <s v="Styer"/>
    <s v="Hugh14@abcmail.com"/>
    <x v="2"/>
    <x v="2"/>
    <x v="17"/>
    <x v="5"/>
    <x v="14"/>
    <n v="809156"/>
    <x v="8"/>
    <d v="2016-02-13T05:21:00"/>
    <d v="2016-02-13T00:00:00"/>
    <d v="2016-02-13T00:00:00"/>
    <x v="559"/>
    <x v="432"/>
    <n v="809156"/>
    <s v="null"/>
  </r>
  <r>
    <n v="809158"/>
    <s v="Michel "/>
    <s v="Pascarella"/>
    <s v="Michel 201@yahoo.com"/>
    <x v="2"/>
    <x v="5"/>
    <x v="11"/>
    <x v="2"/>
    <x v="34"/>
    <n v="809158"/>
    <x v="0"/>
    <d v="2016-02-21T13:02:00"/>
    <d v="2016-02-21T00:00:00"/>
    <d v="2016-02-21T00:00:00"/>
    <x v="332"/>
    <x v="433"/>
    <n v="809158"/>
    <s v="null"/>
  </r>
  <r>
    <n v="809158"/>
    <s v="Michel "/>
    <s v="Pascarella"/>
    <s v="Michel 201@yahoo.com"/>
    <x v="2"/>
    <x v="5"/>
    <x v="11"/>
    <x v="2"/>
    <x v="34"/>
    <n v="809158"/>
    <x v="0"/>
    <d v="2016-03-02T16:45:00"/>
    <d v="2016-03-02T00:00:00"/>
    <d v="2016-03-02T00:00:00"/>
    <x v="557"/>
    <x v="434"/>
    <n v="809158"/>
    <s v="null"/>
  </r>
  <r>
    <n v="809158"/>
    <s v="Michel "/>
    <s v="Pascarella"/>
    <s v="Michel 201@yahoo.com"/>
    <x v="2"/>
    <x v="5"/>
    <x v="11"/>
    <x v="2"/>
    <x v="34"/>
    <n v="809158"/>
    <x v="0"/>
    <d v="2016-02-24T11:13:00"/>
    <d v="2016-02-24T00:00:00"/>
    <d v="2016-02-24T00:00:00"/>
    <x v="519"/>
    <x v="435"/>
    <n v="809158"/>
    <s v="null"/>
  </r>
  <r>
    <n v="809158"/>
    <s v="Michel "/>
    <s v="Pascarella"/>
    <s v="Michel 201@yahoo.com"/>
    <x v="2"/>
    <x v="5"/>
    <x v="11"/>
    <x v="2"/>
    <x v="34"/>
    <n v="809158"/>
    <x v="0"/>
    <d v="2016-02-24T15:10:00"/>
    <d v="2016-02-24T00:00:00"/>
    <d v="2016-02-24T00:00:00"/>
    <x v="560"/>
    <x v="135"/>
    <n v="809158"/>
    <s v="null"/>
  </r>
  <r>
    <n v="809158"/>
    <s v="Michel "/>
    <s v="Pascarella"/>
    <s v="Michel 201@yahoo.com"/>
    <x v="2"/>
    <x v="5"/>
    <x v="11"/>
    <x v="2"/>
    <x v="34"/>
    <n v="809158"/>
    <x v="0"/>
    <d v="2016-03-19T11:38:00"/>
    <d v="2016-03-19T00:00:00"/>
    <d v="2016-03-19T00:00:00"/>
    <x v="36"/>
    <x v="436"/>
    <n v="809158"/>
    <s v="null"/>
  </r>
  <r>
    <n v="809158"/>
    <s v="Michel "/>
    <s v="Pascarella"/>
    <s v="Michel 201@yahoo.com"/>
    <x v="2"/>
    <x v="5"/>
    <x v="11"/>
    <x v="2"/>
    <x v="34"/>
    <n v="809158"/>
    <x v="0"/>
    <d v="2016-03-09T16:12:00"/>
    <d v="2016-03-09T00:00:00"/>
    <d v="2016-03-09T00:00:00"/>
    <x v="15"/>
    <x v="437"/>
    <n v="809158"/>
    <s v="null"/>
  </r>
  <r>
    <n v="809158"/>
    <s v="Michel "/>
    <s v="Pascarella"/>
    <s v="Michel 201@yahoo.com"/>
    <x v="2"/>
    <x v="5"/>
    <x v="11"/>
    <x v="2"/>
    <x v="34"/>
    <n v="809158"/>
    <x v="0"/>
    <d v="2016-03-30T19:00:00"/>
    <d v="2016-03-30T00:00:00"/>
    <d v="2016-03-30T00:00:00"/>
    <x v="78"/>
    <x v="438"/>
    <n v="809158"/>
    <s v="null"/>
  </r>
  <r>
    <n v="786270"/>
    <s v="Emerson "/>
    <s v="Pilot"/>
    <s v="Emerson 242@gmail.com"/>
    <x v="2"/>
    <x v="2"/>
    <x v="47"/>
    <x v="6"/>
    <x v="39"/>
    <n v="786270"/>
    <x v="2"/>
    <d v="2016-02-10T06:20:00"/>
    <d v="2016-02-10T00:00:00"/>
    <d v="2016-02-10T00:00:00"/>
    <x v="561"/>
    <x v="217"/>
    <n v="786270"/>
    <s v="null"/>
  </r>
  <r>
    <n v="786343"/>
    <s v="Shane "/>
    <s v="Pool"/>
    <s v="Shane 25@mailxyz.com"/>
    <x v="2"/>
    <x v="5"/>
    <x v="4"/>
    <x v="3"/>
    <x v="17"/>
    <n v="786343"/>
    <x v="13"/>
    <d v="2016-01-13T06:55:00"/>
    <d v="2016-01-13T00:00:00"/>
    <d v="2016-01-13T00:00:00"/>
    <x v="562"/>
    <x v="110"/>
    <n v="786343"/>
    <s v="null"/>
  </r>
  <r>
    <n v="786343"/>
    <s v="Shane "/>
    <s v="Pool"/>
    <s v="Shane 25@mailxyz.com"/>
    <x v="2"/>
    <x v="5"/>
    <x v="4"/>
    <x v="3"/>
    <x v="17"/>
    <n v="786343"/>
    <x v="3"/>
    <d v="2016-01-14T09:25:00"/>
    <d v="2016-01-14T00:00:00"/>
    <d v="2016-01-14T00:00:00"/>
    <x v="563"/>
    <x v="439"/>
    <n v="786343"/>
    <s v="null"/>
  </r>
  <r>
    <n v="786343"/>
    <s v="Shane "/>
    <s v="Pool"/>
    <s v="Shane 25@mailxyz.com"/>
    <x v="2"/>
    <x v="5"/>
    <x v="4"/>
    <x v="3"/>
    <x v="17"/>
    <n v="786343"/>
    <x v="10"/>
    <d v="2016-01-12T19:16:00"/>
    <d v="2016-01-12T00:00:00"/>
    <d v="2016-01-12T00:00:00"/>
    <x v="70"/>
    <x v="2"/>
    <n v="786343"/>
    <s v="null"/>
  </r>
  <r>
    <n v="788854"/>
    <s v="Jacinto "/>
    <s v="Lavoie"/>
    <s v="Jacinto 254@abcmail.com"/>
    <x v="2"/>
    <x v="4"/>
    <x v="11"/>
    <x v="6"/>
    <x v="19"/>
    <n v="788854"/>
    <x v="4"/>
    <d v="2016-02-16T22:19:00"/>
    <d v="2016-02-16T00:00:00"/>
    <d v="2016-02-16T00:00:00"/>
    <x v="384"/>
    <x v="440"/>
    <n v="788854"/>
    <s v="null"/>
  </r>
  <r>
    <n v="788854"/>
    <s v="Jacinto "/>
    <s v="Lavoie"/>
    <s v="Jacinto 254@abcmail.com"/>
    <x v="2"/>
    <x v="4"/>
    <x v="11"/>
    <x v="6"/>
    <x v="19"/>
    <n v="788854"/>
    <x v="9"/>
    <d v="2016-02-07T16:44:00"/>
    <d v="2016-02-07T00:00:00"/>
    <d v="2016-02-07T00:00:00"/>
    <x v="241"/>
    <x v="441"/>
    <n v="788854"/>
    <s v="null"/>
  </r>
  <r>
    <n v="788854"/>
    <s v="Jacinto "/>
    <s v="Lavoie"/>
    <s v="Jacinto 254@abcmail.com"/>
    <x v="2"/>
    <x v="4"/>
    <x v="11"/>
    <x v="6"/>
    <x v="19"/>
    <n v="788854"/>
    <x v="3"/>
    <d v="2016-02-04T10:16:00"/>
    <d v="2016-02-04T00:00:00"/>
    <d v="2016-02-04T00:00:00"/>
    <x v="564"/>
    <x v="442"/>
    <n v="788854"/>
    <s v="null"/>
  </r>
  <r>
    <n v="788854"/>
    <s v="Jacinto "/>
    <s v="Lavoie"/>
    <s v="Jacinto 254@abcmail.com"/>
    <x v="2"/>
    <x v="4"/>
    <x v="11"/>
    <x v="6"/>
    <x v="19"/>
    <n v="788854"/>
    <x v="3"/>
    <d v="2016-02-03T22:26:00"/>
    <d v="2016-02-03T00:00:00"/>
    <d v="2016-02-03T00:00:00"/>
    <x v="565"/>
    <x v="1"/>
    <n v="788854"/>
    <s v="null"/>
  </r>
  <r>
    <n v="809162"/>
    <s v="Emerson "/>
    <s v="Mccown"/>
    <s v="Emerson 243@mail.com"/>
    <x v="2"/>
    <x v="2"/>
    <x v="37"/>
    <x v="8"/>
    <x v="39"/>
    <n v="809162"/>
    <x v="0"/>
    <d v="2016-03-06T13:25:00"/>
    <d v="2016-03-06T00:00:00"/>
    <d v="2016-03-06T00:00:00"/>
    <x v="93"/>
    <x v="443"/>
    <n v="809162"/>
    <s v="null"/>
  </r>
  <r>
    <n v="803703"/>
    <s v="Bernardo "/>
    <s v="Mina"/>
    <s v="Bernardo 321@yahoo.com"/>
    <x v="2"/>
    <x v="4"/>
    <x v="36"/>
    <x v="4"/>
    <x v="89"/>
    <n v="803703"/>
    <x v="4"/>
    <d v="2016-03-05T17:33:00"/>
    <d v="2016-03-05T00:00:00"/>
    <d v="2016-03-05T00:00:00"/>
    <x v="566"/>
    <x v="20"/>
    <n v="803703"/>
    <s v="null"/>
  </r>
  <r>
    <n v="809165"/>
    <s v="Eli "/>
    <s v="Singer"/>
    <s v="Eli 291@yahoo.com"/>
    <x v="2"/>
    <x v="1"/>
    <x v="18"/>
    <x v="2"/>
    <x v="44"/>
    <n v="809165"/>
    <x v="0"/>
    <d v="2016-03-03T12:44:00"/>
    <d v="2016-03-03T00:00:00"/>
    <d v="2016-03-03T00:00:00"/>
    <x v="505"/>
    <x v="444"/>
    <n v="809165"/>
    <s v="null"/>
  </r>
  <r>
    <n v="809165"/>
    <s v="Eli "/>
    <s v="Singer"/>
    <s v="Eli 291@yahoo.com"/>
    <x v="2"/>
    <x v="1"/>
    <x v="18"/>
    <x v="2"/>
    <x v="44"/>
    <n v="809165"/>
    <x v="4"/>
    <d v="2016-01-21T14:30:00"/>
    <d v="2016-01-21T00:00:00"/>
    <d v="2016-01-21T00:00:00"/>
    <x v="451"/>
    <x v="445"/>
    <n v="809165"/>
    <s v="null"/>
  </r>
  <r>
    <n v="809165"/>
    <s v="Eli "/>
    <s v="Singer"/>
    <s v="Eli 291@yahoo.com"/>
    <x v="2"/>
    <x v="1"/>
    <x v="18"/>
    <x v="2"/>
    <x v="44"/>
    <n v="809165"/>
    <x v="5"/>
    <d v="2016-01-19T20:36:00"/>
    <d v="2016-01-19T00:00:00"/>
    <d v="2016-01-19T00:00:00"/>
    <x v="234"/>
    <x v="339"/>
    <n v="809165"/>
    <s v="null"/>
  </r>
  <r>
    <n v="788856"/>
    <s v="Valentine "/>
    <s v="Fudge"/>
    <s v="Valentine 471@yahoo.com"/>
    <x v="2"/>
    <x v="0"/>
    <x v="33"/>
    <x v="4"/>
    <x v="30"/>
    <n v="788856"/>
    <x v="4"/>
    <d v="2016-01-16T19:28:00"/>
    <d v="2016-01-16T00:00:00"/>
    <d v="2016-01-16T00:00:00"/>
    <x v="567"/>
    <x v="10"/>
    <n v="788856"/>
    <s v="null"/>
  </r>
  <r>
    <n v="788856"/>
    <s v="Valentine "/>
    <s v="Fudge"/>
    <s v="Valentine 471@yahoo.com"/>
    <x v="2"/>
    <x v="0"/>
    <x v="33"/>
    <x v="4"/>
    <x v="30"/>
    <n v="788856"/>
    <x v="9"/>
    <d v="2016-01-10T21:55:00"/>
    <d v="2016-01-10T00:00:00"/>
    <d v="2016-01-10T00:00:00"/>
    <x v="68"/>
    <x v="446"/>
    <n v="788856"/>
    <s v="null"/>
  </r>
  <r>
    <n v="787846"/>
    <s v="Dia "/>
    <s v="Arrieta"/>
    <s v="Dia 85@mailxyz.com"/>
    <x v="1"/>
    <x v="4"/>
    <x v="13"/>
    <x v="4"/>
    <x v="102"/>
    <n v="787846"/>
    <x v="2"/>
    <d v="2016-03-24T20:26:00"/>
    <d v="2016-03-24T00:00:00"/>
    <d v="2016-03-24T00:00:00"/>
    <x v="568"/>
    <x v="447"/>
    <n v="787846"/>
    <s v="null"/>
  </r>
  <r>
    <n v="787846"/>
    <s v="Dia "/>
    <s v="Arrieta"/>
    <s v="Dia 85@mailxyz.com"/>
    <x v="1"/>
    <x v="4"/>
    <x v="13"/>
    <x v="4"/>
    <x v="102"/>
    <n v="787846"/>
    <x v="3"/>
    <d v="2016-03-25T12:12:00"/>
    <d v="2016-03-25T00:00:00"/>
    <d v="2016-03-25T00:00:00"/>
    <x v="569"/>
    <x v="89"/>
    <n v="787846"/>
    <s v="null"/>
  </r>
  <r>
    <n v="787846"/>
    <s v="Dia "/>
    <s v="Arrieta"/>
    <s v="Dia 85@mailxyz.com"/>
    <x v="1"/>
    <x v="4"/>
    <x v="13"/>
    <x v="4"/>
    <x v="102"/>
    <n v="787846"/>
    <x v="3"/>
    <d v="2016-03-25T23:50:00"/>
    <d v="2016-03-25T00:00:00"/>
    <d v="2016-03-25T00:00:00"/>
    <x v="547"/>
    <x v="349"/>
    <n v="787846"/>
    <s v="null"/>
  </r>
  <r>
    <n v="788857"/>
    <s v="Raymundo "/>
    <s v="Vital"/>
    <s v="Raymundo 434@abcmail.com"/>
    <x v="2"/>
    <x v="1"/>
    <x v="23"/>
    <x v="4"/>
    <x v="18"/>
    <n v="788857"/>
    <x v="1"/>
    <d v="2016-02-09T17:20:00"/>
    <d v="2016-02-09T00:00:00"/>
    <d v="2016-02-09T00:00:00"/>
    <x v="353"/>
    <x v="25"/>
    <n v="788857"/>
    <s v="null"/>
  </r>
  <r>
    <n v="788857"/>
    <s v="Raymundo "/>
    <s v="Vital"/>
    <s v="Raymundo 434@abcmail.com"/>
    <x v="2"/>
    <x v="1"/>
    <x v="23"/>
    <x v="4"/>
    <x v="18"/>
    <n v="788857"/>
    <x v="10"/>
    <d v="2016-02-13T12:19:00"/>
    <d v="2016-02-13T00:00:00"/>
    <d v="2016-02-13T00:00:00"/>
    <x v="570"/>
    <x v="448"/>
    <n v="788857"/>
    <s v="null"/>
  </r>
  <r>
    <n v="788857"/>
    <s v="Raymundo "/>
    <s v="Vital"/>
    <s v="Raymundo 434@abcmail.com"/>
    <x v="2"/>
    <x v="1"/>
    <x v="23"/>
    <x v="4"/>
    <x v="18"/>
    <n v="788857"/>
    <x v="3"/>
    <d v="2016-02-13T12:20:00"/>
    <d v="2016-02-13T00:00:00"/>
    <d v="2016-02-13T00:00:00"/>
    <x v="571"/>
    <x v="50"/>
    <n v="788857"/>
    <s v="null"/>
  </r>
  <r>
    <n v="802485"/>
    <s v="Emerson "/>
    <s v="Jacox"/>
    <s v="Emerson 241@yahoo.com"/>
    <x v="2"/>
    <x v="1"/>
    <x v="6"/>
    <x v="2"/>
    <x v="39"/>
    <n v="802485"/>
    <x v="2"/>
    <d v="2016-02-21T16:16:00"/>
    <d v="2016-02-21T00:00:00"/>
    <d v="2016-02-21T00:00:00"/>
    <x v="48"/>
    <x v="449"/>
    <n v="802485"/>
    <s v="null"/>
  </r>
  <r>
    <n v="802485"/>
    <s v="Emerson "/>
    <s v="Jacox"/>
    <s v="Emerson 241@yahoo.com"/>
    <x v="2"/>
    <x v="1"/>
    <x v="6"/>
    <x v="2"/>
    <x v="39"/>
    <n v="802485"/>
    <x v="2"/>
    <d v="2016-02-20T09:49:00"/>
    <d v="2016-02-20T00:00:00"/>
    <d v="2016-02-20T00:00:00"/>
    <x v="483"/>
    <x v="10"/>
    <n v="802485"/>
    <s v="null"/>
  </r>
  <r>
    <n v="802485"/>
    <s v="Emerson "/>
    <s v="Jacox"/>
    <s v="Emerson 241@yahoo.com"/>
    <x v="2"/>
    <x v="1"/>
    <x v="6"/>
    <x v="2"/>
    <x v="39"/>
    <n v="802485"/>
    <x v="9"/>
    <d v="2016-02-21T10:52:00"/>
    <d v="2016-02-21T00:00:00"/>
    <d v="2016-02-21T00:00:00"/>
    <x v="572"/>
    <x v="450"/>
    <n v="802485"/>
    <s v="null"/>
  </r>
  <r>
    <n v="788858"/>
    <s v="Charlie "/>
    <s v="Vital"/>
    <s v="Charlie 362@gmail.com"/>
    <x v="2"/>
    <x v="2"/>
    <x v="19"/>
    <x v="4"/>
    <x v="52"/>
    <n v="788858"/>
    <x v="5"/>
    <d v="2016-02-04T16:07:00"/>
    <d v="2016-02-04T00:00:00"/>
    <d v="2016-02-04T00:00:00"/>
    <x v="112"/>
    <x v="159"/>
    <n v="788858"/>
    <s v="null"/>
  </r>
  <r>
    <n v="788858"/>
    <s v="Charlie "/>
    <s v="Vital"/>
    <s v="Charlie 362@gmail.com"/>
    <x v="2"/>
    <x v="2"/>
    <x v="19"/>
    <x v="4"/>
    <x v="52"/>
    <n v="788858"/>
    <x v="5"/>
    <d v="2016-02-09T18:05:00"/>
    <d v="2016-02-09T00:00:00"/>
    <d v="2016-02-09T00:00:00"/>
    <x v="573"/>
    <x v="451"/>
    <n v="788858"/>
    <s v="null"/>
  </r>
  <r>
    <n v="809166"/>
    <s v="Stacy "/>
    <s v="Shkreli"/>
    <s v="Stacy 274@abcmail.com"/>
    <x v="2"/>
    <x v="1"/>
    <x v="9"/>
    <x v="1"/>
    <x v="8"/>
    <n v="809166"/>
    <x v="0"/>
    <d v="2016-02-22T14:05:00"/>
    <d v="2016-02-22T00:00:00"/>
    <d v="2016-02-22T00:00:00"/>
    <x v="184"/>
    <x v="452"/>
    <n v="809166"/>
    <s v="null"/>
  </r>
  <r>
    <n v="809166"/>
    <s v="Stacy "/>
    <s v="Shkreli"/>
    <s v="Stacy 274@abcmail.com"/>
    <x v="2"/>
    <x v="1"/>
    <x v="9"/>
    <x v="1"/>
    <x v="8"/>
    <n v="809166"/>
    <x v="0"/>
    <d v="2016-02-24T15:53:00"/>
    <d v="2016-02-24T00:00:00"/>
    <d v="2016-02-24T00:00:00"/>
    <x v="574"/>
    <x v="171"/>
    <n v="809166"/>
    <s v="null"/>
  </r>
  <r>
    <n v="791480"/>
    <s v="Robby "/>
    <s v="Curran"/>
    <s v="Robby 162@gmail.com"/>
    <x v="2"/>
    <x v="1"/>
    <x v="25"/>
    <x v="3"/>
    <x v="27"/>
    <n v="791480"/>
    <x v="8"/>
    <d v="2016-02-14T10:42:00"/>
    <d v="2016-02-14T00:00:00"/>
    <d v="2016-02-14T00:00:00"/>
    <x v="58"/>
    <x v="350"/>
    <n v="791480"/>
    <s v="null"/>
  </r>
  <r>
    <n v="791480"/>
    <s v="Robby "/>
    <s v="Curran"/>
    <s v="Robby 162@gmail.com"/>
    <x v="2"/>
    <x v="1"/>
    <x v="25"/>
    <x v="3"/>
    <x v="27"/>
    <n v="791480"/>
    <x v="4"/>
    <d v="2016-02-03T15:56:00"/>
    <d v="2016-02-03T00:00:00"/>
    <d v="2016-02-03T00:00:00"/>
    <x v="151"/>
    <x v="167"/>
    <n v="791480"/>
    <s v="null"/>
  </r>
  <r>
    <n v="793752"/>
    <s v="Cory "/>
    <s v="Wigfall"/>
    <s v="Cory 102@gmail.com"/>
    <x v="2"/>
    <x v="1"/>
    <x v="11"/>
    <x v="4"/>
    <x v="4"/>
    <n v="793752"/>
    <x v="0"/>
    <d v="2016-02-24T11:05:00"/>
    <d v="2016-02-24T00:00:00"/>
    <d v="2016-02-24T00:00:00"/>
    <x v="575"/>
    <x v="63"/>
    <n v="793752"/>
    <s v="null"/>
  </r>
  <r>
    <n v="788877"/>
    <s v="Katharina "/>
    <s v="Condie"/>
    <s v="Katharina 414@abcmail.com"/>
    <x v="1"/>
    <x v="4"/>
    <x v="2"/>
    <x v="4"/>
    <x v="103"/>
    <n v="788877"/>
    <x v="3"/>
    <d v="2016-01-10T17:38:00"/>
    <d v="2016-01-10T00:00:00"/>
    <d v="2016-01-10T00:00:00"/>
    <x v="302"/>
    <x v="198"/>
    <n v="788877"/>
    <s v="null"/>
  </r>
  <r>
    <n v="788877"/>
    <s v="Katharina "/>
    <s v="Condie"/>
    <s v="Katharina 414@abcmail.com"/>
    <x v="1"/>
    <x v="4"/>
    <x v="2"/>
    <x v="4"/>
    <x v="103"/>
    <n v="788877"/>
    <x v="8"/>
    <d v="2016-01-10T15:46:00"/>
    <d v="2016-01-10T00:00:00"/>
    <d v="2016-01-10T00:00:00"/>
    <x v="103"/>
    <x v="453"/>
    <n v="788877"/>
    <s v="null"/>
  </r>
  <r>
    <n v="788877"/>
    <s v="Katharina "/>
    <s v="Condie"/>
    <s v="Katharina 414@abcmail.com"/>
    <x v="1"/>
    <x v="4"/>
    <x v="2"/>
    <x v="4"/>
    <x v="103"/>
    <n v="788877"/>
    <x v="3"/>
    <d v="2016-01-07T17:02:00"/>
    <d v="2016-01-07T00:00:00"/>
    <d v="2016-01-07T00:00:00"/>
    <x v="345"/>
    <x v="454"/>
    <n v="788877"/>
    <s v="null"/>
  </r>
  <r>
    <n v="788877"/>
    <s v="Katharina "/>
    <s v="Condie"/>
    <s v="Katharina 414@abcmail.com"/>
    <x v="1"/>
    <x v="4"/>
    <x v="2"/>
    <x v="4"/>
    <x v="103"/>
    <n v="788877"/>
    <x v="10"/>
    <d v="2016-01-08T08:58:00"/>
    <d v="2016-01-08T00:00:00"/>
    <d v="2016-01-08T00:00:00"/>
    <x v="576"/>
    <x v="455"/>
    <n v="788877"/>
    <s v="null"/>
  </r>
  <r>
    <n v="788891"/>
    <s v="Markus "/>
    <s v="Wigfall"/>
    <s v="Markus 192@gmail.com"/>
    <x v="2"/>
    <x v="4"/>
    <x v="11"/>
    <x v="3"/>
    <x v="61"/>
    <n v="788891"/>
    <x v="5"/>
    <d v="2016-03-11T14:02:00"/>
    <d v="2016-03-11T00:00:00"/>
    <d v="2016-03-11T00:00:00"/>
    <x v="577"/>
    <x v="174"/>
    <n v="788891"/>
    <s v="null"/>
  </r>
  <r>
    <n v="788891"/>
    <s v="Markus "/>
    <s v="Wigfall"/>
    <s v="Markus 192@gmail.com"/>
    <x v="2"/>
    <x v="4"/>
    <x v="11"/>
    <x v="3"/>
    <x v="61"/>
    <n v="788891"/>
    <x v="3"/>
    <d v="2016-03-11T14:11:00"/>
    <d v="2016-03-11T00:00:00"/>
    <d v="2016-03-11T00:00:00"/>
    <x v="259"/>
    <x v="294"/>
    <n v="788891"/>
    <s v="null"/>
  </r>
  <r>
    <n v="788891"/>
    <s v="Markus "/>
    <s v="Wigfall"/>
    <s v="Markus 192@gmail.com"/>
    <x v="2"/>
    <x v="4"/>
    <x v="11"/>
    <x v="3"/>
    <x v="61"/>
    <n v="788891"/>
    <x v="6"/>
    <d v="2016-01-31T22:58:00"/>
    <d v="2016-01-31T00:00:00"/>
    <d v="2016-01-31T00:00:00"/>
    <x v="578"/>
    <x v="167"/>
    <n v="788891"/>
    <s v="null"/>
  </r>
  <r>
    <n v="788891"/>
    <s v="Markus "/>
    <s v="Wigfall"/>
    <s v="Markus 192@gmail.com"/>
    <x v="2"/>
    <x v="4"/>
    <x v="11"/>
    <x v="3"/>
    <x v="61"/>
    <n v="788891"/>
    <x v="3"/>
    <d v="2016-03-11T01:58:00"/>
    <d v="2016-03-11T00:00:00"/>
    <d v="2016-03-11T00:00:00"/>
    <x v="579"/>
    <x v="1"/>
    <n v="788891"/>
    <s v="null"/>
  </r>
  <r>
    <n v="788893"/>
    <s v="Stacy "/>
    <s v="Woolard"/>
    <s v="Stacy 271@yahoo.com"/>
    <x v="2"/>
    <x v="2"/>
    <x v="36"/>
    <x v="5"/>
    <x v="8"/>
    <n v="788893"/>
    <x v="3"/>
    <d v="2016-02-15T06:58:00"/>
    <d v="2016-02-15T00:00:00"/>
    <d v="2016-02-15T00:00:00"/>
    <x v="580"/>
    <x v="456"/>
    <n v="788893"/>
    <s v="null"/>
  </r>
  <r>
    <n v="788893"/>
    <s v="Stacy "/>
    <s v="Woolard"/>
    <s v="Stacy 271@yahoo.com"/>
    <x v="2"/>
    <x v="2"/>
    <x v="36"/>
    <x v="5"/>
    <x v="8"/>
    <n v="788893"/>
    <x v="8"/>
    <d v="2016-01-15T14:26:00"/>
    <d v="2016-01-15T00:00:00"/>
    <d v="2016-01-15T00:00:00"/>
    <x v="383"/>
    <x v="457"/>
    <n v="788893"/>
    <s v="null"/>
  </r>
  <r>
    <n v="788893"/>
    <s v="Stacy "/>
    <s v="Woolard"/>
    <s v="Stacy 271@yahoo.com"/>
    <x v="2"/>
    <x v="2"/>
    <x v="36"/>
    <x v="5"/>
    <x v="8"/>
    <n v="788893"/>
    <x v="4"/>
    <d v="2016-01-18T21:27:00"/>
    <d v="2016-01-18T00:00:00"/>
    <d v="2016-01-18T00:00:00"/>
    <x v="411"/>
    <x v="458"/>
    <n v="788893"/>
    <s v="null"/>
  </r>
  <r>
    <n v="788893"/>
    <s v="Stacy "/>
    <s v="Woolard"/>
    <s v="Stacy 271@yahoo.com"/>
    <x v="2"/>
    <x v="2"/>
    <x v="36"/>
    <x v="5"/>
    <x v="8"/>
    <n v="788893"/>
    <x v="9"/>
    <d v="2016-01-21T16:30:00"/>
    <d v="2016-01-21T00:00:00"/>
    <d v="2016-01-21T00:00:00"/>
    <x v="276"/>
    <x v="15"/>
    <n v="788893"/>
    <s v="null"/>
  </r>
  <r>
    <n v="788893"/>
    <s v="Stacy "/>
    <s v="Woolard"/>
    <s v="Stacy 271@yahoo.com"/>
    <x v="2"/>
    <x v="2"/>
    <x v="36"/>
    <x v="5"/>
    <x v="8"/>
    <n v="788893"/>
    <x v="3"/>
    <d v="2016-03-06T06:50:00"/>
    <d v="2016-03-06T00:00:00"/>
    <d v="2016-03-06T00:00:00"/>
    <x v="581"/>
    <x v="154"/>
    <n v="788893"/>
    <s v="null"/>
  </r>
  <r>
    <n v="788893"/>
    <s v="Stacy "/>
    <s v="Woolard"/>
    <s v="Stacy 271@yahoo.com"/>
    <x v="2"/>
    <x v="2"/>
    <x v="36"/>
    <x v="5"/>
    <x v="8"/>
    <n v="788893"/>
    <x v="8"/>
    <d v="2016-02-09T06:49:00"/>
    <d v="2016-02-09T00:00:00"/>
    <d v="2016-02-09T00:00:00"/>
    <x v="582"/>
    <x v="459"/>
    <n v="788893"/>
    <s v="null"/>
  </r>
  <r>
    <n v="788911"/>
    <s v="Randy "/>
    <s v="Reisinger"/>
    <s v="Randy 395@mailxyz.com"/>
    <x v="2"/>
    <x v="2"/>
    <x v="17"/>
    <x v="2"/>
    <x v="28"/>
    <n v="788911"/>
    <x v="8"/>
    <d v="2016-02-12T23:09:00"/>
    <d v="2016-02-12T00:00:00"/>
    <d v="2016-02-12T00:00:00"/>
    <x v="583"/>
    <x v="29"/>
    <n v="788911"/>
    <s v="null"/>
  </r>
  <r>
    <n v="788922"/>
    <s v="Cory "/>
    <s v="Fudge"/>
    <s v="Cory 101@yahoo.com"/>
    <x v="2"/>
    <x v="4"/>
    <x v="38"/>
    <x v="4"/>
    <x v="4"/>
    <n v="788922"/>
    <x v="0"/>
    <d v="2016-03-05T18:03:00"/>
    <d v="2016-03-05T00:00:00"/>
    <d v="2016-03-05T00:00:00"/>
    <x v="584"/>
    <x v="266"/>
    <n v="788922"/>
    <s v="null"/>
  </r>
  <r>
    <n v="788922"/>
    <s v="Cory "/>
    <s v="Fudge"/>
    <s v="Cory 101@yahoo.com"/>
    <x v="2"/>
    <x v="4"/>
    <x v="38"/>
    <x v="4"/>
    <x v="4"/>
    <n v="788922"/>
    <x v="0"/>
    <d v="2016-02-27T18:06:00"/>
    <d v="2016-02-27T00:00:00"/>
    <d v="2016-02-27T00:00:00"/>
    <x v="585"/>
    <x v="311"/>
    <n v="788922"/>
    <s v="null"/>
  </r>
  <r>
    <n v="788930"/>
    <s v="Lane "/>
    <s v="Sieren"/>
    <s v="Lane 114@abcmail.com"/>
    <x v="2"/>
    <x v="1"/>
    <x v="22"/>
    <x v="9"/>
    <x v="57"/>
    <n v="788930"/>
    <x v="16"/>
    <d v="2016-02-02T02:24:00"/>
    <d v="2016-02-02T00:00:00"/>
    <d v="2016-02-02T00:00:00"/>
    <x v="586"/>
    <x v="94"/>
    <n v="788930"/>
    <s v="null"/>
  </r>
  <r>
    <n v="788930"/>
    <s v="Lane "/>
    <s v="Sieren"/>
    <s v="Lane 114@abcmail.com"/>
    <x v="2"/>
    <x v="1"/>
    <x v="22"/>
    <x v="9"/>
    <x v="57"/>
    <n v="788930"/>
    <x v="10"/>
    <d v="2016-02-07T01:51:00"/>
    <d v="2016-02-07T00:00:00"/>
    <d v="2016-02-07T00:00:00"/>
    <x v="587"/>
    <x v="460"/>
    <n v="788930"/>
    <s v="null"/>
  </r>
  <r>
    <n v="788930"/>
    <s v="Lane "/>
    <s v="Sieren"/>
    <s v="Lane 114@abcmail.com"/>
    <x v="2"/>
    <x v="1"/>
    <x v="22"/>
    <x v="9"/>
    <x v="57"/>
    <n v="788930"/>
    <x v="13"/>
    <d v="2016-02-07T04:03:00"/>
    <d v="2016-02-07T00:00:00"/>
    <d v="2016-02-07T00:00:00"/>
    <x v="588"/>
    <x v="302"/>
    <n v="788930"/>
    <s v="null"/>
  </r>
  <r>
    <n v="788936"/>
    <s v="Raymundo "/>
    <s v="Gettys"/>
    <s v="Raymundo 435@mailxyz.com"/>
    <x v="2"/>
    <x v="2"/>
    <x v="9"/>
    <x v="6"/>
    <x v="18"/>
    <n v="788936"/>
    <x v="12"/>
    <d v="2016-01-13T21:04:00"/>
    <d v="2016-01-13T00:00:00"/>
    <d v="2016-01-13T00:00:00"/>
    <x v="493"/>
    <x v="268"/>
    <n v="788936"/>
    <s v="null"/>
  </r>
  <r>
    <n v="788936"/>
    <s v="Raymundo "/>
    <s v="Gettys"/>
    <s v="Raymundo 435@mailxyz.com"/>
    <x v="2"/>
    <x v="2"/>
    <x v="9"/>
    <x v="6"/>
    <x v="18"/>
    <n v="788936"/>
    <x v="4"/>
    <d v="2016-01-15T03:31:00"/>
    <d v="2016-01-15T00:00:00"/>
    <d v="2016-01-15T00:00:00"/>
    <x v="589"/>
    <x v="461"/>
    <n v="788936"/>
    <s v="null"/>
  </r>
  <r>
    <n v="788936"/>
    <s v="Raymundo "/>
    <s v="Gettys"/>
    <s v="Raymundo 435@mailxyz.com"/>
    <x v="2"/>
    <x v="2"/>
    <x v="9"/>
    <x v="6"/>
    <x v="18"/>
    <n v="788936"/>
    <x v="5"/>
    <d v="2016-03-19T09:32:00"/>
    <d v="2016-03-19T00:00:00"/>
    <d v="2016-03-19T00:00:00"/>
    <x v="590"/>
    <x v="384"/>
    <n v="788936"/>
    <s v="null"/>
  </r>
  <r>
    <n v="788936"/>
    <s v="Raymundo "/>
    <s v="Gettys"/>
    <s v="Raymundo 435@mailxyz.com"/>
    <x v="2"/>
    <x v="2"/>
    <x v="9"/>
    <x v="6"/>
    <x v="18"/>
    <n v="788936"/>
    <x v="3"/>
    <d v="2016-03-19T18:06:00"/>
    <d v="2016-03-19T00:00:00"/>
    <d v="2016-03-19T00:00:00"/>
    <x v="585"/>
    <x v="462"/>
    <n v="788936"/>
    <s v="null"/>
  </r>
  <r>
    <n v="788936"/>
    <s v="Raymundo "/>
    <s v="Gettys"/>
    <s v="Raymundo 435@mailxyz.com"/>
    <x v="2"/>
    <x v="2"/>
    <x v="9"/>
    <x v="6"/>
    <x v="18"/>
    <n v="788936"/>
    <x v="9"/>
    <d v="2016-03-20T15:24:00"/>
    <d v="2016-03-20T00:00:00"/>
    <d v="2016-03-20T00:00:00"/>
    <x v="591"/>
    <x v="353"/>
    <n v="788936"/>
    <s v="null"/>
  </r>
  <r>
    <n v="788941"/>
    <s v="Kyle "/>
    <s v="Nicholls"/>
    <s v="Kyle 62@gmail.com"/>
    <x v="2"/>
    <x v="1"/>
    <x v="12"/>
    <x v="4"/>
    <x v="40"/>
    <n v="788941"/>
    <x v="4"/>
    <d v="2016-02-11T20:07:00"/>
    <d v="2016-02-11T00:00:00"/>
    <d v="2016-02-11T00:00:00"/>
    <x v="373"/>
    <x v="463"/>
    <n v="788941"/>
    <s v="null"/>
  </r>
  <r>
    <n v="788941"/>
    <s v="Kyle "/>
    <s v="Nicholls"/>
    <s v="Kyle 62@gmail.com"/>
    <x v="2"/>
    <x v="1"/>
    <x v="12"/>
    <x v="4"/>
    <x v="40"/>
    <n v="788941"/>
    <x v="4"/>
    <d v="2016-02-19T19:11:00"/>
    <d v="2016-02-19T00:00:00"/>
    <d v="2016-02-19T00:00:00"/>
    <x v="39"/>
    <x v="26"/>
    <n v="788941"/>
    <s v="null"/>
  </r>
  <r>
    <n v="788942"/>
    <s v="Royal "/>
    <s v="Sytsma"/>
    <s v="Royal 171@yahoo.com"/>
    <x v="2"/>
    <x v="4"/>
    <x v="13"/>
    <x v="4"/>
    <x v="23"/>
    <n v="788942"/>
    <x v="2"/>
    <d v="2016-02-11T06:31:00"/>
    <d v="2016-02-11T00:00:00"/>
    <d v="2016-02-11T00:00:00"/>
    <x v="592"/>
    <x v="50"/>
    <n v="788942"/>
    <s v="null"/>
  </r>
  <r>
    <n v="788945"/>
    <s v="Dion "/>
    <s v="Marek"/>
    <s v="Dion 335@mailxyz.com"/>
    <x v="2"/>
    <x v="2"/>
    <x v="36"/>
    <x v="8"/>
    <x v="70"/>
    <n v="788945"/>
    <x v="10"/>
    <d v="2016-02-14T03:31:00"/>
    <d v="2016-02-14T00:00:00"/>
    <d v="2016-02-14T00:00:00"/>
    <x v="589"/>
    <x v="403"/>
    <n v="788945"/>
    <s v="null"/>
  </r>
  <r>
    <n v="788947"/>
    <s v="Lloyd "/>
    <s v="Mccown"/>
    <s v="Lloyd 75@mailxyz.com"/>
    <x v="2"/>
    <x v="2"/>
    <x v="24"/>
    <x v="3"/>
    <x v="47"/>
    <n v="788947"/>
    <x v="5"/>
    <d v="2016-02-10T23:11:00"/>
    <d v="2016-02-10T00:00:00"/>
    <d v="2016-02-10T00:00:00"/>
    <x v="593"/>
    <x v="247"/>
    <n v="788947"/>
    <s v="null"/>
  </r>
  <r>
    <n v="788949"/>
    <s v="Bernardo "/>
    <s v="Reisinger"/>
    <s v="Bernardo 321@yahoo.com"/>
    <x v="2"/>
    <x v="1"/>
    <x v="28"/>
    <x v="2"/>
    <x v="89"/>
    <n v="788949"/>
    <x v="4"/>
    <d v="2016-03-24T12:47:00"/>
    <d v="2016-03-24T00:00:00"/>
    <d v="2016-03-24T00:00:00"/>
    <x v="177"/>
    <x v="310"/>
    <n v="788949"/>
    <s v="null"/>
  </r>
  <r>
    <n v="788949"/>
    <s v="Bernardo "/>
    <s v="Reisinger"/>
    <s v="Bernardo 321@yahoo.com"/>
    <x v="2"/>
    <x v="1"/>
    <x v="28"/>
    <x v="2"/>
    <x v="89"/>
    <n v="788949"/>
    <x v="4"/>
    <d v="2016-01-06T15:20:00"/>
    <d v="2016-01-06T00:00:00"/>
    <d v="2016-01-06T00:00:00"/>
    <x v="594"/>
    <x v="167"/>
    <n v="788949"/>
    <s v="null"/>
  </r>
  <r>
    <n v="788949"/>
    <s v="Bernardo "/>
    <s v="Reisinger"/>
    <s v="Bernardo 321@yahoo.com"/>
    <x v="2"/>
    <x v="1"/>
    <x v="28"/>
    <x v="2"/>
    <x v="89"/>
    <n v="788949"/>
    <x v="4"/>
    <d v="2016-01-05T15:58:00"/>
    <d v="2016-01-05T00:00:00"/>
    <d v="2016-01-05T00:00:00"/>
    <x v="71"/>
    <x v="464"/>
    <n v="788949"/>
    <s v="null"/>
  </r>
  <r>
    <n v="788949"/>
    <s v="Bernardo "/>
    <s v="Reisinger"/>
    <s v="Bernardo 321@yahoo.com"/>
    <x v="2"/>
    <x v="1"/>
    <x v="28"/>
    <x v="2"/>
    <x v="89"/>
    <n v="788949"/>
    <x v="0"/>
    <d v="2016-03-20T15:52:00"/>
    <d v="2016-03-20T00:00:00"/>
    <d v="2016-03-20T00:00:00"/>
    <x v="595"/>
    <x v="465"/>
    <n v="788949"/>
    <s v="null"/>
  </r>
  <r>
    <n v="788949"/>
    <s v="Bernardo "/>
    <s v="Reisinger"/>
    <s v="Bernardo 321@yahoo.com"/>
    <x v="2"/>
    <x v="1"/>
    <x v="28"/>
    <x v="2"/>
    <x v="89"/>
    <n v="788949"/>
    <x v="6"/>
    <d v="2016-02-03T21:34:00"/>
    <d v="2016-02-03T00:00:00"/>
    <d v="2016-02-03T00:00:00"/>
    <x v="193"/>
    <x v="283"/>
    <n v="788949"/>
    <s v="null"/>
  </r>
  <r>
    <n v="788951"/>
    <s v="Loyd "/>
    <s v="Mccown"/>
    <s v="Loyd 494@abcmail.com"/>
    <x v="2"/>
    <x v="2"/>
    <x v="4"/>
    <x v="3"/>
    <x v="24"/>
    <n v="788951"/>
    <x v="9"/>
    <d v="2016-02-07T14:52:00"/>
    <d v="2016-02-07T00:00:00"/>
    <d v="2016-02-07T00:00:00"/>
    <x v="596"/>
    <x v="466"/>
    <n v="788951"/>
    <s v="null"/>
  </r>
  <r>
    <n v="788954"/>
    <s v="Cory "/>
    <s v="Lavoie"/>
    <s v="Cory 103@mail.com"/>
    <x v="2"/>
    <x v="2"/>
    <x v="40"/>
    <x v="2"/>
    <x v="4"/>
    <n v="788954"/>
    <x v="8"/>
    <d v="2016-01-21T22:52:00"/>
    <d v="2016-01-21T00:00:00"/>
    <d v="2016-01-21T00:00:00"/>
    <x v="597"/>
    <x v="95"/>
    <n v="788954"/>
    <s v="null"/>
  </r>
  <r>
    <n v="788954"/>
    <s v="Cory "/>
    <s v="Lavoie"/>
    <s v="Cory 103@mail.com"/>
    <x v="2"/>
    <x v="2"/>
    <x v="40"/>
    <x v="2"/>
    <x v="4"/>
    <n v="788954"/>
    <x v="13"/>
    <d v="2016-01-19T19:20:00"/>
    <d v="2016-01-19T00:00:00"/>
    <d v="2016-01-19T00:00:00"/>
    <x v="326"/>
    <x v="339"/>
    <n v="788954"/>
    <s v="null"/>
  </r>
  <r>
    <n v="788958"/>
    <s v="Art "/>
    <s v="Luthy"/>
    <s v="Art 402@gmail.com"/>
    <x v="2"/>
    <x v="1"/>
    <x v="29"/>
    <x v="3"/>
    <x v="9"/>
    <n v="788958"/>
    <x v="9"/>
    <d v="2016-01-24T13:03:00"/>
    <d v="2016-01-24T00:00:00"/>
    <d v="2016-01-24T00:00:00"/>
    <x v="9"/>
    <x v="467"/>
    <n v="788958"/>
    <s v="null"/>
  </r>
  <r>
    <n v="788958"/>
    <s v="Art "/>
    <s v="Luthy"/>
    <s v="Art 402@gmail.com"/>
    <x v="2"/>
    <x v="1"/>
    <x v="29"/>
    <x v="3"/>
    <x v="9"/>
    <n v="788958"/>
    <x v="9"/>
    <d v="2016-01-31T22:12:00"/>
    <d v="2016-01-31T00:00:00"/>
    <d v="2016-01-31T00:00:00"/>
    <x v="598"/>
    <x v="468"/>
    <n v="788958"/>
    <s v="null"/>
  </r>
  <r>
    <n v="788958"/>
    <s v="Art "/>
    <s v="Luthy"/>
    <s v="Art 402@gmail.com"/>
    <x v="2"/>
    <x v="1"/>
    <x v="29"/>
    <x v="3"/>
    <x v="9"/>
    <n v="788958"/>
    <x v="9"/>
    <d v="2016-01-25T04:59:00"/>
    <d v="2016-01-25T00:00:00"/>
    <d v="2016-01-25T00:00:00"/>
    <x v="599"/>
    <x v="469"/>
    <n v="788958"/>
    <s v="null"/>
  </r>
  <r>
    <n v="788959"/>
    <s v="Cody "/>
    <s v="Pascarella"/>
    <s v="Cody 125@mailxyz.com"/>
    <x v="2"/>
    <x v="0"/>
    <x v="12"/>
    <x v="2"/>
    <x v="66"/>
    <n v="788959"/>
    <x v="0"/>
    <d v="2016-03-02T11:49:00"/>
    <d v="2016-03-02T00:00:00"/>
    <d v="2016-03-02T00:00:00"/>
    <x v="87"/>
    <x v="470"/>
    <n v="788959"/>
    <s v="null"/>
  </r>
  <r>
    <n v="788961"/>
    <s v="Kyle "/>
    <s v="Mccown"/>
    <s v="Kyle 63@mail.com"/>
    <x v="2"/>
    <x v="2"/>
    <x v="51"/>
    <x v="9"/>
    <x v="40"/>
    <n v="788961"/>
    <x v="5"/>
    <d v="2016-02-21T09:27:00"/>
    <d v="2016-02-21T00:00:00"/>
    <d v="2016-02-21T00:00:00"/>
    <x v="600"/>
    <x v="38"/>
    <n v="788961"/>
    <s v="null"/>
  </r>
  <r>
    <n v="788961"/>
    <s v="Kyle "/>
    <s v="Mccown"/>
    <s v="Kyle 63@mail.com"/>
    <x v="2"/>
    <x v="2"/>
    <x v="51"/>
    <x v="9"/>
    <x v="40"/>
    <n v="788961"/>
    <x v="4"/>
    <d v="2016-01-26T18:17:00"/>
    <d v="2016-01-26T00:00:00"/>
    <d v="2016-01-26T00:00:00"/>
    <x v="601"/>
    <x v="25"/>
    <n v="788961"/>
    <s v="null"/>
  </r>
  <r>
    <n v="788961"/>
    <s v="Kyle "/>
    <s v="Mccown"/>
    <s v="Kyle 63@mail.com"/>
    <x v="2"/>
    <x v="2"/>
    <x v="51"/>
    <x v="9"/>
    <x v="40"/>
    <n v="788961"/>
    <x v="8"/>
    <d v="2016-03-20T14:37:00"/>
    <d v="2016-03-20T00:00:00"/>
    <d v="2016-03-20T00:00:00"/>
    <x v="243"/>
    <x v="471"/>
    <n v="788961"/>
    <s v="null"/>
  </r>
  <r>
    <n v="788969"/>
    <s v="Markus "/>
    <s v="Vital"/>
    <s v="Markus 194@abcmail.com"/>
    <x v="2"/>
    <x v="2"/>
    <x v="34"/>
    <x v="9"/>
    <x v="61"/>
    <n v="788969"/>
    <x v="4"/>
    <d v="2016-03-02T23:22:00"/>
    <d v="2016-03-02T00:00:00"/>
    <d v="2016-03-02T00:00:00"/>
    <x v="189"/>
    <x v="115"/>
    <n v="788969"/>
    <s v="null"/>
  </r>
  <r>
    <n v="788969"/>
    <s v="Markus "/>
    <s v="Vital"/>
    <s v="Markus 194@abcmail.com"/>
    <x v="2"/>
    <x v="2"/>
    <x v="34"/>
    <x v="9"/>
    <x v="61"/>
    <n v="788969"/>
    <x v="12"/>
    <d v="2016-03-03T22:50:00"/>
    <d v="2016-03-03T00:00:00"/>
    <d v="2016-03-03T00:00:00"/>
    <x v="602"/>
    <x v="7"/>
    <n v="788969"/>
    <s v="null"/>
  </r>
  <r>
    <n v="788969"/>
    <s v="Markus "/>
    <s v="Vital"/>
    <s v="Markus 194@abcmail.com"/>
    <x v="2"/>
    <x v="2"/>
    <x v="34"/>
    <x v="9"/>
    <x v="61"/>
    <n v="788969"/>
    <x v="4"/>
    <d v="2016-03-03T22:55:00"/>
    <d v="2016-03-03T00:00:00"/>
    <d v="2016-03-03T00:00:00"/>
    <x v="603"/>
    <x v="57"/>
    <n v="788969"/>
    <s v="null"/>
  </r>
  <r>
    <n v="788969"/>
    <s v="Markus "/>
    <s v="Vital"/>
    <s v="Markus 194@abcmail.com"/>
    <x v="2"/>
    <x v="2"/>
    <x v="34"/>
    <x v="9"/>
    <x v="61"/>
    <n v="788969"/>
    <x v="9"/>
    <d v="2016-03-19T06:58:00"/>
    <d v="2016-03-19T00:00:00"/>
    <d v="2016-03-19T00:00:00"/>
    <x v="580"/>
    <x v="194"/>
    <n v="788969"/>
    <s v="null"/>
  </r>
  <r>
    <n v="809169"/>
    <s v="Wilburn "/>
    <s v="Bilyeu"/>
    <s v="Wilburn 302@gmail.com"/>
    <x v="2"/>
    <x v="2"/>
    <x v="31"/>
    <x v="2"/>
    <x v="37"/>
    <n v="809169"/>
    <x v="4"/>
    <d v="2016-03-03T23:11:00"/>
    <d v="2016-03-03T00:00:00"/>
    <d v="2016-03-03T00:00:00"/>
    <x v="593"/>
    <x v="110"/>
    <n v="809169"/>
    <s v="null"/>
  </r>
  <r>
    <n v="809169"/>
    <s v="Wilburn "/>
    <s v="Bilyeu"/>
    <s v="Wilburn 302@gmail.com"/>
    <x v="2"/>
    <x v="2"/>
    <x v="31"/>
    <x v="2"/>
    <x v="37"/>
    <n v="809169"/>
    <x v="4"/>
    <d v="2016-02-13T21:31:00"/>
    <d v="2016-02-13T00:00:00"/>
    <d v="2016-02-13T00:00:00"/>
    <x v="304"/>
    <x v="20"/>
    <n v="809169"/>
    <s v="null"/>
  </r>
  <r>
    <n v="809169"/>
    <s v="Wilburn "/>
    <s v="Bilyeu"/>
    <s v="Wilburn 302@gmail.com"/>
    <x v="2"/>
    <x v="2"/>
    <x v="31"/>
    <x v="2"/>
    <x v="37"/>
    <n v="809169"/>
    <x v="10"/>
    <d v="2016-03-21T02:03:00"/>
    <d v="2016-03-21T00:00:00"/>
    <d v="2016-03-21T00:00:00"/>
    <x v="604"/>
    <x v="472"/>
    <n v="809169"/>
    <s v="null"/>
  </r>
  <r>
    <n v="788978"/>
    <s v="Irving "/>
    <s v="Condie"/>
    <s v="Irving 52@gmail.com"/>
    <x v="2"/>
    <x v="3"/>
    <x v="4"/>
    <x v="4"/>
    <x v="77"/>
    <n v="788978"/>
    <x v="0"/>
    <d v="2016-02-21T11:58:00"/>
    <d v="2016-02-21T00:00:00"/>
    <d v="2016-02-21T00:00:00"/>
    <x v="486"/>
    <x v="473"/>
    <n v="788978"/>
    <s v="null"/>
  </r>
  <r>
    <n v="788978"/>
    <s v="Irving "/>
    <s v="Condie"/>
    <s v="Irving 52@gmail.com"/>
    <x v="2"/>
    <x v="3"/>
    <x v="4"/>
    <x v="4"/>
    <x v="77"/>
    <n v="788978"/>
    <x v="5"/>
    <d v="2016-02-19T06:30:00"/>
    <d v="2016-02-19T00:00:00"/>
    <d v="2016-02-19T00:00:00"/>
    <x v="287"/>
    <x v="70"/>
    <n v="788978"/>
    <s v="null"/>
  </r>
  <r>
    <n v="788978"/>
    <s v="Irving "/>
    <s v="Condie"/>
    <s v="Irving 52@gmail.com"/>
    <x v="2"/>
    <x v="3"/>
    <x v="4"/>
    <x v="4"/>
    <x v="77"/>
    <n v="788978"/>
    <x v="6"/>
    <d v="2016-02-14T14:20:00"/>
    <d v="2016-02-14T00:00:00"/>
    <d v="2016-02-14T00:00:00"/>
    <x v="605"/>
    <x v="205"/>
    <n v="788978"/>
    <s v="null"/>
  </r>
  <r>
    <n v="788978"/>
    <s v="Irving "/>
    <s v="Condie"/>
    <s v="Irving 52@gmail.com"/>
    <x v="2"/>
    <x v="3"/>
    <x v="4"/>
    <x v="4"/>
    <x v="77"/>
    <n v="788978"/>
    <x v="6"/>
    <d v="2016-03-03T19:14:00"/>
    <d v="2016-03-03T00:00:00"/>
    <d v="2016-03-03T00:00:00"/>
    <x v="149"/>
    <x v="474"/>
    <n v="788978"/>
    <s v="null"/>
  </r>
  <r>
    <n v="788978"/>
    <s v="Irving "/>
    <s v="Condie"/>
    <s v="Irving 52@gmail.com"/>
    <x v="2"/>
    <x v="3"/>
    <x v="4"/>
    <x v="4"/>
    <x v="77"/>
    <n v="788978"/>
    <x v="4"/>
    <d v="2016-03-08T06:14:00"/>
    <d v="2016-03-08T00:00:00"/>
    <d v="2016-03-08T00:00:00"/>
    <x v="174"/>
    <x v="64"/>
    <n v="788978"/>
    <s v="null"/>
  </r>
  <r>
    <n v="788978"/>
    <s v="Irving "/>
    <s v="Condie"/>
    <s v="Irving 52@gmail.com"/>
    <x v="2"/>
    <x v="3"/>
    <x v="4"/>
    <x v="4"/>
    <x v="77"/>
    <n v="788978"/>
    <x v="0"/>
    <d v="2016-03-25T16:11:00"/>
    <d v="2016-03-25T00:00:00"/>
    <d v="2016-03-25T00:00:00"/>
    <x v="92"/>
    <x v="475"/>
    <n v="788978"/>
    <s v="null"/>
  </r>
  <r>
    <n v="788978"/>
    <s v="Irving "/>
    <s v="Condie"/>
    <s v="Irving 52@gmail.com"/>
    <x v="2"/>
    <x v="3"/>
    <x v="4"/>
    <x v="4"/>
    <x v="77"/>
    <n v="788978"/>
    <x v="8"/>
    <d v="2016-02-13T20:34:00"/>
    <d v="2016-02-13T00:00:00"/>
    <d v="2016-02-13T00:00:00"/>
    <x v="277"/>
    <x v="66"/>
    <n v="788978"/>
    <s v="null"/>
  </r>
  <r>
    <n v="788978"/>
    <s v="Irving "/>
    <s v="Condie"/>
    <s v="Irving 52@gmail.com"/>
    <x v="2"/>
    <x v="3"/>
    <x v="4"/>
    <x v="4"/>
    <x v="77"/>
    <n v="788978"/>
    <x v="4"/>
    <d v="2016-02-13T20:51:00"/>
    <d v="2016-02-13T00:00:00"/>
    <d v="2016-02-13T00:00:00"/>
    <x v="400"/>
    <x v="10"/>
    <n v="788978"/>
    <s v="null"/>
  </r>
  <r>
    <n v="788988"/>
    <s v="Luann "/>
    <s v="Mina"/>
    <s v="Luann 405@mailxyz.com"/>
    <x v="1"/>
    <x v="2"/>
    <x v="10"/>
    <x v="2"/>
    <x v="104"/>
    <n v="788988"/>
    <x v="5"/>
    <d v="2016-03-06T19:49:00"/>
    <d v="2016-03-06T00:00:00"/>
    <d v="2016-03-06T00:00:00"/>
    <x v="57"/>
    <x v="476"/>
    <n v="788988"/>
    <s v="null"/>
  </r>
  <r>
    <n v="788988"/>
    <s v="Luann "/>
    <s v="Mina"/>
    <s v="Luann 405@mailxyz.com"/>
    <x v="1"/>
    <x v="2"/>
    <x v="10"/>
    <x v="2"/>
    <x v="104"/>
    <n v="788988"/>
    <x v="8"/>
    <d v="2016-01-23T19:22:00"/>
    <d v="2016-01-23T00:00:00"/>
    <d v="2016-01-23T00:00:00"/>
    <x v="371"/>
    <x v="70"/>
    <n v="788988"/>
    <s v="null"/>
  </r>
  <r>
    <n v="788990"/>
    <s v="Garry "/>
    <s v="Mccollum"/>
    <s v="Garry 284@abcmail.com"/>
    <x v="2"/>
    <x v="2"/>
    <x v="30"/>
    <x v="5"/>
    <x v="2"/>
    <n v="788990"/>
    <x v="9"/>
    <d v="2016-02-02T08:57:00"/>
    <d v="2016-02-02T00:00:00"/>
    <d v="2016-02-02T00:00:00"/>
    <x v="606"/>
    <x v="108"/>
    <n v="788990"/>
    <s v="null"/>
  </r>
  <r>
    <n v="788990"/>
    <s v="Garry "/>
    <s v="Mccollum"/>
    <s v="Garry 284@abcmail.com"/>
    <x v="2"/>
    <x v="2"/>
    <x v="30"/>
    <x v="5"/>
    <x v="2"/>
    <n v="788990"/>
    <x v="3"/>
    <d v="2016-01-23T11:54:00"/>
    <d v="2016-01-23T00:00:00"/>
    <d v="2016-01-23T00:00:00"/>
    <x v="607"/>
    <x v="477"/>
    <n v="788990"/>
    <s v="null"/>
  </r>
  <r>
    <n v="788990"/>
    <s v="Garry "/>
    <s v="Mccollum"/>
    <s v="Garry 284@abcmail.com"/>
    <x v="2"/>
    <x v="2"/>
    <x v="30"/>
    <x v="5"/>
    <x v="2"/>
    <n v="788990"/>
    <x v="8"/>
    <d v="2016-02-09T22:27:00"/>
    <d v="2016-02-09T00:00:00"/>
    <d v="2016-02-09T00:00:00"/>
    <x v="439"/>
    <x v="118"/>
    <n v="788990"/>
    <s v="null"/>
  </r>
  <r>
    <n v="788990"/>
    <s v="Garry "/>
    <s v="Mccollum"/>
    <s v="Garry 284@abcmail.com"/>
    <x v="2"/>
    <x v="2"/>
    <x v="30"/>
    <x v="5"/>
    <x v="2"/>
    <n v="788990"/>
    <x v="2"/>
    <d v="2016-02-03T12:45:00"/>
    <d v="2016-02-03T00:00:00"/>
    <d v="2016-02-03T00:00:00"/>
    <x v="45"/>
    <x v="184"/>
    <n v="788990"/>
    <s v="null"/>
  </r>
  <r>
    <n v="788990"/>
    <s v="Garry "/>
    <s v="Mccollum"/>
    <s v="Garry 284@abcmail.com"/>
    <x v="2"/>
    <x v="2"/>
    <x v="30"/>
    <x v="5"/>
    <x v="2"/>
    <n v="788990"/>
    <x v="5"/>
    <d v="2016-02-12T11:05:00"/>
    <d v="2016-02-12T00:00:00"/>
    <d v="2016-02-12T00:00:00"/>
    <x v="575"/>
    <x v="57"/>
    <n v="788990"/>
    <s v="null"/>
  </r>
  <r>
    <n v="788990"/>
    <s v="Garry "/>
    <s v="Mccollum"/>
    <s v="Garry 284@abcmail.com"/>
    <x v="2"/>
    <x v="2"/>
    <x v="30"/>
    <x v="5"/>
    <x v="2"/>
    <n v="788990"/>
    <x v="3"/>
    <d v="2016-02-08T23:55:00"/>
    <d v="2016-02-08T00:00:00"/>
    <d v="2016-02-08T00:00:00"/>
    <x v="537"/>
    <x v="52"/>
    <n v="788990"/>
    <s v="null"/>
  </r>
  <r>
    <n v="788992"/>
    <s v="Robby "/>
    <s v="Pascarella"/>
    <s v="Robby 162@gmail.com"/>
    <x v="2"/>
    <x v="2"/>
    <x v="28"/>
    <x v="2"/>
    <x v="27"/>
    <n v="788992"/>
    <x v="3"/>
    <d v="2016-01-11T10:42:00"/>
    <d v="2016-01-11T00:00:00"/>
    <d v="2016-01-11T00:00:00"/>
    <x v="58"/>
    <x v="478"/>
    <n v="788992"/>
    <s v="null"/>
  </r>
  <r>
    <n v="788994"/>
    <s v="Filiberto "/>
    <s v="Mosser"/>
    <s v="Filiberto 44@abcmail.com"/>
    <x v="2"/>
    <x v="0"/>
    <x v="10"/>
    <x v="4"/>
    <x v="7"/>
    <n v="788994"/>
    <x v="0"/>
    <d v="2016-02-24T11:34:00"/>
    <d v="2016-02-24T00:00:00"/>
    <d v="2016-02-24T00:00:00"/>
    <x v="355"/>
    <x v="479"/>
    <n v="788994"/>
    <s v="null"/>
  </r>
  <r>
    <n v="788997"/>
    <s v="Charlie "/>
    <s v="Mcculloch"/>
    <s v="Charlie 364@abcmail.com"/>
    <x v="2"/>
    <x v="2"/>
    <x v="19"/>
    <x v="2"/>
    <x v="52"/>
    <n v="788997"/>
    <x v="10"/>
    <d v="2016-01-15T14:13:00"/>
    <d v="2016-01-15T00:00:00"/>
    <d v="2016-01-15T00:00:00"/>
    <x v="514"/>
    <x v="206"/>
    <n v="788997"/>
    <s v="null"/>
  </r>
  <r>
    <n v="788997"/>
    <s v="Charlie "/>
    <s v="Mcculloch"/>
    <s v="Charlie 364@abcmail.com"/>
    <x v="2"/>
    <x v="2"/>
    <x v="19"/>
    <x v="2"/>
    <x v="52"/>
    <n v="788997"/>
    <x v="10"/>
    <d v="2016-01-13T10:40:00"/>
    <d v="2016-01-13T00:00:00"/>
    <d v="2016-01-13T00:00:00"/>
    <x v="5"/>
    <x v="480"/>
    <n v="788997"/>
    <s v="null"/>
  </r>
  <r>
    <n v="788997"/>
    <s v="Charlie "/>
    <s v="Mcculloch"/>
    <s v="Charlie 364@abcmail.com"/>
    <x v="2"/>
    <x v="2"/>
    <x v="19"/>
    <x v="2"/>
    <x v="52"/>
    <n v="788997"/>
    <x v="8"/>
    <d v="2016-02-09T21:09:00"/>
    <d v="2016-02-09T00:00:00"/>
    <d v="2016-02-09T00:00:00"/>
    <x v="367"/>
    <x v="481"/>
    <n v="788997"/>
    <s v="null"/>
  </r>
  <r>
    <n v="788998"/>
    <s v="Cody "/>
    <s v="Pilot"/>
    <s v="Cody 122@gmail.com"/>
    <x v="2"/>
    <x v="1"/>
    <x v="40"/>
    <x v="2"/>
    <x v="66"/>
    <n v="788998"/>
    <x v="0"/>
    <d v="2016-02-19T13:44:00"/>
    <d v="2016-02-19T00:00:00"/>
    <d v="2016-02-19T00:00:00"/>
    <x v="608"/>
    <x v="482"/>
    <n v="788998"/>
    <s v="null"/>
  </r>
  <r>
    <n v="788999"/>
    <s v="Anette "/>
    <s v="Leicht"/>
    <s v="Anette 151@yahoo.com"/>
    <x v="1"/>
    <x v="1"/>
    <x v="40"/>
    <x v="3"/>
    <x v="105"/>
    <n v="788999"/>
    <x v="9"/>
    <d v="2016-03-19T18:57:00"/>
    <d v="2016-03-19T00:00:00"/>
    <d v="2016-03-19T00:00:00"/>
    <x v="538"/>
    <x v="483"/>
    <n v="788999"/>
    <s v="null"/>
  </r>
  <r>
    <n v="789004"/>
    <s v="Valentine "/>
    <s v="Pool"/>
    <s v="Valentine 472@gmail.com"/>
    <x v="2"/>
    <x v="0"/>
    <x v="15"/>
    <x v="7"/>
    <x v="30"/>
    <n v="789004"/>
    <x v="10"/>
    <d v="2016-02-22T21:17:00"/>
    <d v="2016-02-22T00:00:00"/>
    <d v="2016-02-22T00:00:00"/>
    <x v="609"/>
    <x v="484"/>
    <n v="789004"/>
    <s v="null"/>
  </r>
  <r>
    <n v="789004"/>
    <s v="Valentine "/>
    <s v="Pool"/>
    <s v="Valentine 472@gmail.com"/>
    <x v="2"/>
    <x v="0"/>
    <x v="15"/>
    <x v="7"/>
    <x v="30"/>
    <n v="789004"/>
    <x v="3"/>
    <d v="2016-02-04T10:25:00"/>
    <d v="2016-02-04T00:00:00"/>
    <d v="2016-02-04T00:00:00"/>
    <x v="328"/>
    <x v="485"/>
    <n v="789004"/>
    <s v="null"/>
  </r>
  <r>
    <n v="789004"/>
    <s v="Valentine "/>
    <s v="Pool"/>
    <s v="Valentine 472@gmail.com"/>
    <x v="2"/>
    <x v="0"/>
    <x v="15"/>
    <x v="7"/>
    <x v="30"/>
    <n v="789004"/>
    <x v="5"/>
    <d v="2016-02-07T15:59:00"/>
    <d v="2016-02-07T00:00:00"/>
    <d v="2016-02-07T00:00:00"/>
    <x v="610"/>
    <x v="486"/>
    <n v="789004"/>
    <s v="null"/>
  </r>
  <r>
    <n v="789004"/>
    <s v="Valentine "/>
    <s v="Pool"/>
    <s v="Valentine 472@gmail.com"/>
    <x v="2"/>
    <x v="0"/>
    <x v="15"/>
    <x v="7"/>
    <x v="30"/>
    <n v="789004"/>
    <x v="10"/>
    <d v="2016-02-10T21:42:00"/>
    <d v="2016-02-10T00:00:00"/>
    <d v="2016-02-10T00:00:00"/>
    <x v="611"/>
    <x v="487"/>
    <n v="789004"/>
    <s v="null"/>
  </r>
  <r>
    <n v="789004"/>
    <s v="Valentine "/>
    <s v="Pool"/>
    <s v="Valentine 472@gmail.com"/>
    <x v="2"/>
    <x v="0"/>
    <x v="15"/>
    <x v="7"/>
    <x v="30"/>
    <n v="789004"/>
    <x v="2"/>
    <d v="2016-02-04T14:23:00"/>
    <d v="2016-02-04T00:00:00"/>
    <d v="2016-02-04T00:00:00"/>
    <x v="612"/>
    <x v="69"/>
    <n v="789004"/>
    <s v="null"/>
  </r>
  <r>
    <n v="789004"/>
    <s v="Valentine "/>
    <s v="Pool"/>
    <s v="Valentine 472@gmail.com"/>
    <x v="2"/>
    <x v="0"/>
    <x v="15"/>
    <x v="7"/>
    <x v="30"/>
    <n v="789004"/>
    <x v="10"/>
    <d v="2016-02-09T12:58:00"/>
    <d v="2016-02-09T00:00:00"/>
    <d v="2016-02-09T00:00:00"/>
    <x v="459"/>
    <x v="488"/>
    <n v="789004"/>
    <s v="null"/>
  </r>
  <r>
    <n v="789004"/>
    <s v="Valentine "/>
    <s v="Pool"/>
    <s v="Valentine 472@gmail.com"/>
    <x v="2"/>
    <x v="0"/>
    <x v="15"/>
    <x v="7"/>
    <x v="30"/>
    <n v="789004"/>
    <x v="4"/>
    <d v="2016-02-12T13:54:00"/>
    <d v="2016-02-12T00:00:00"/>
    <d v="2016-02-12T00:00:00"/>
    <x v="613"/>
    <x v="489"/>
    <n v="789004"/>
    <s v="null"/>
  </r>
  <r>
    <n v="789004"/>
    <s v="Valentine "/>
    <s v="Pool"/>
    <s v="Valentine 472@gmail.com"/>
    <x v="2"/>
    <x v="0"/>
    <x v="15"/>
    <x v="7"/>
    <x v="30"/>
    <n v="789004"/>
    <x v="10"/>
    <d v="2016-02-23T14:03:00"/>
    <d v="2016-02-23T00:00:00"/>
    <d v="2016-02-23T00:00:00"/>
    <x v="26"/>
    <x v="490"/>
    <n v="789004"/>
    <s v="null"/>
  </r>
  <r>
    <n v="789010"/>
    <s v="Carter "/>
    <s v="Mina"/>
    <s v="Carter 31@yahoo.com"/>
    <x v="2"/>
    <x v="2"/>
    <x v="8"/>
    <x v="7"/>
    <x v="6"/>
    <n v="789010"/>
    <x v="2"/>
    <d v="2016-02-10T09:44:00"/>
    <d v="2016-02-10T00:00:00"/>
    <d v="2016-02-10T00:00:00"/>
    <x v="231"/>
    <x v="115"/>
    <n v="789010"/>
    <s v="null"/>
  </r>
  <r>
    <n v="789010"/>
    <s v="Carter "/>
    <s v="Mina"/>
    <s v="Carter 31@yahoo.com"/>
    <x v="2"/>
    <x v="2"/>
    <x v="8"/>
    <x v="7"/>
    <x v="6"/>
    <n v="789010"/>
    <x v="4"/>
    <d v="2016-02-10T08:50:00"/>
    <d v="2016-02-10T00:00:00"/>
    <d v="2016-02-10T00:00:00"/>
    <x v="614"/>
    <x v="167"/>
    <n v="789010"/>
    <s v="null"/>
  </r>
  <r>
    <n v="789010"/>
    <s v="Carter "/>
    <s v="Mina"/>
    <s v="Carter 31@yahoo.com"/>
    <x v="2"/>
    <x v="2"/>
    <x v="8"/>
    <x v="7"/>
    <x v="6"/>
    <n v="789010"/>
    <x v="8"/>
    <d v="2016-02-10T22:35:00"/>
    <d v="2016-02-10T00:00:00"/>
    <d v="2016-02-10T00:00:00"/>
    <x v="615"/>
    <x v="70"/>
    <n v="789010"/>
    <s v="null"/>
  </r>
  <r>
    <n v="809172"/>
    <s v="Williemae "/>
    <s v="Holt"/>
    <s v="Williemae 415@mailxyz.com"/>
    <x v="1"/>
    <x v="4"/>
    <x v="30"/>
    <x v="5"/>
    <x v="106"/>
    <n v="809172"/>
    <x v="10"/>
    <d v="2016-03-16T21:12:00"/>
    <d v="2016-03-16T00:00:00"/>
    <d v="2016-03-16T00:00:00"/>
    <x v="616"/>
    <x v="491"/>
    <n v="809172"/>
    <s v="null"/>
  </r>
  <r>
    <n v="809173"/>
    <s v="Claud "/>
    <s v="Mosser"/>
    <s v="Claud 344@abcmail.com"/>
    <x v="2"/>
    <x v="2"/>
    <x v="12"/>
    <x v="3"/>
    <x v="16"/>
    <n v="809173"/>
    <x v="13"/>
    <d v="2016-02-19T15:39:00"/>
    <d v="2016-02-19T00:00:00"/>
    <d v="2016-02-19T00:00:00"/>
    <x v="617"/>
    <x v="312"/>
    <n v="809173"/>
    <s v="null"/>
  </r>
  <r>
    <n v="809173"/>
    <s v="Claud "/>
    <s v="Mosser"/>
    <s v="Claud 344@abcmail.com"/>
    <x v="2"/>
    <x v="2"/>
    <x v="12"/>
    <x v="3"/>
    <x v="16"/>
    <n v="809173"/>
    <x v="10"/>
    <d v="2016-02-10T12:46:00"/>
    <d v="2016-02-10T00:00:00"/>
    <d v="2016-02-10T00:00:00"/>
    <x v="75"/>
    <x v="10"/>
    <n v="809173"/>
    <s v="null"/>
  </r>
  <r>
    <n v="809173"/>
    <s v="Claud "/>
    <s v="Mosser"/>
    <s v="Claud 344@abcmail.com"/>
    <x v="2"/>
    <x v="2"/>
    <x v="12"/>
    <x v="3"/>
    <x v="16"/>
    <n v="809173"/>
    <x v="5"/>
    <d v="2016-02-09T11:05:00"/>
    <d v="2016-02-09T00:00:00"/>
    <d v="2016-02-09T00:00:00"/>
    <x v="575"/>
    <x v="411"/>
    <n v="809173"/>
    <s v="null"/>
  </r>
  <r>
    <n v="809176"/>
    <s v="Garry "/>
    <s v="Pilot"/>
    <s v="Garry 283@mail.com"/>
    <x v="2"/>
    <x v="2"/>
    <x v="40"/>
    <x v="3"/>
    <x v="2"/>
    <n v="809176"/>
    <x v="4"/>
    <d v="2016-02-19T14:54:00"/>
    <d v="2016-02-19T00:00:00"/>
    <d v="2016-02-19T00:00:00"/>
    <x v="618"/>
    <x v="94"/>
    <n v="809176"/>
    <s v="null"/>
  </r>
  <r>
    <n v="809176"/>
    <s v="Garry "/>
    <s v="Pilot"/>
    <s v="Garry 283@mail.com"/>
    <x v="2"/>
    <x v="2"/>
    <x v="40"/>
    <x v="3"/>
    <x v="2"/>
    <n v="809176"/>
    <x v="5"/>
    <d v="2016-01-19T21:33:00"/>
    <d v="2016-01-19T00:00:00"/>
    <d v="2016-01-19T00:00:00"/>
    <x v="619"/>
    <x v="10"/>
    <n v="809176"/>
    <s v="null"/>
  </r>
  <r>
    <n v="809177"/>
    <s v="Hollis "/>
    <s v="Singer"/>
    <s v="Hollis 383@mail.com"/>
    <x v="2"/>
    <x v="2"/>
    <x v="4"/>
    <x v="5"/>
    <x v="29"/>
    <n v="809177"/>
    <x v="2"/>
    <d v="2016-03-18T18:48:00"/>
    <d v="2016-03-18T00:00:00"/>
    <d v="2016-03-18T00:00:00"/>
    <x v="620"/>
    <x v="120"/>
    <n v="809177"/>
    <s v="null"/>
  </r>
  <r>
    <n v="809177"/>
    <s v="Hollis "/>
    <s v="Singer"/>
    <s v="Hollis 383@mail.com"/>
    <x v="2"/>
    <x v="2"/>
    <x v="4"/>
    <x v="5"/>
    <x v="29"/>
    <n v="809177"/>
    <x v="5"/>
    <d v="2016-02-23T11:07:00"/>
    <d v="2016-02-23T00:00:00"/>
    <d v="2016-02-23T00:00:00"/>
    <x v="621"/>
    <x v="492"/>
    <n v="809177"/>
    <s v="null"/>
  </r>
  <r>
    <n v="809183"/>
    <s v="Claud "/>
    <s v="Marek"/>
    <s v="Claud 343@mail.com"/>
    <x v="2"/>
    <x v="2"/>
    <x v="10"/>
    <x v="2"/>
    <x v="16"/>
    <n v="809183"/>
    <x v="17"/>
    <d v="2016-02-08T23:32:00"/>
    <d v="2016-02-08T00:00:00"/>
    <d v="2016-02-08T00:00:00"/>
    <x v="622"/>
    <x v="173"/>
    <n v="809183"/>
    <s v="null"/>
  </r>
  <r>
    <n v="809185"/>
    <s v="None"/>
    <s v="None"/>
    <s v="Blanca 391@yahoo.com"/>
    <x v="0"/>
    <x v="0"/>
    <x v="0"/>
    <x v="0"/>
    <x v="0"/>
    <n v="809185"/>
    <x v="0"/>
    <d v="2016-03-19T06:44:00"/>
    <d v="2016-03-19T00:00:00"/>
    <d v="2016-03-19T00:00:00"/>
    <x v="623"/>
    <x v="112"/>
    <n v="809185"/>
    <s v="null"/>
  </r>
  <r>
    <n v="809185"/>
    <s v="None"/>
    <s v="None"/>
    <s v="Blanca 391@yahoo.com"/>
    <x v="0"/>
    <x v="0"/>
    <x v="0"/>
    <x v="0"/>
    <x v="0"/>
    <n v="809185"/>
    <x v="3"/>
    <d v="2016-03-19T06:45:00"/>
    <d v="2016-03-19T00:00:00"/>
    <d v="2016-03-19T00:00:00"/>
    <x v="624"/>
    <x v="296"/>
    <n v="809185"/>
    <s v="null"/>
  </r>
  <r>
    <n v="809185"/>
    <s v="None"/>
    <s v="None"/>
    <s v="Blanca 391@yahoo.com"/>
    <x v="0"/>
    <x v="0"/>
    <x v="0"/>
    <x v="0"/>
    <x v="0"/>
    <n v="809185"/>
    <x v="0"/>
    <d v="2016-03-19T11:00:00"/>
    <d v="2016-03-19T00:00:00"/>
    <d v="2016-03-19T00:00:00"/>
    <x v="625"/>
    <x v="493"/>
    <n v="809185"/>
    <s v="null"/>
  </r>
  <r>
    <n v="791497"/>
    <s v="Claud "/>
    <s v="Langenfeld"/>
    <s v="Claud 341@yahoo.com"/>
    <x v="2"/>
    <x v="2"/>
    <x v="6"/>
    <x v="5"/>
    <x v="16"/>
    <n v="791497"/>
    <x v="11"/>
    <d v="2016-01-19T20:21:00"/>
    <d v="2016-01-19T00:00:00"/>
    <d v="2016-01-19T00:00:00"/>
    <x v="152"/>
    <x v="29"/>
    <n v="791497"/>
    <s v="null"/>
  </r>
  <r>
    <n v="791497"/>
    <s v="Claud "/>
    <s v="Langenfeld"/>
    <s v="Claud 341@yahoo.com"/>
    <x v="2"/>
    <x v="2"/>
    <x v="6"/>
    <x v="5"/>
    <x v="16"/>
    <n v="791497"/>
    <x v="9"/>
    <d v="2016-01-14T23:50:00"/>
    <d v="2016-01-14T00:00:00"/>
    <d v="2016-01-14T00:00:00"/>
    <x v="547"/>
    <x v="120"/>
    <n v="791497"/>
    <s v="null"/>
  </r>
  <r>
    <n v="809188"/>
    <s v="Nakita "/>
    <s v="Pool"/>
    <s v="Nakita 185@mailxyz.com"/>
    <x v="1"/>
    <x v="2"/>
    <x v="16"/>
    <x v="8"/>
    <x v="107"/>
    <n v="809188"/>
    <x v="5"/>
    <d v="2016-02-21T21:08:00"/>
    <d v="2016-02-21T00:00:00"/>
    <d v="2016-02-21T00:00:00"/>
    <x v="456"/>
    <x v="494"/>
    <n v="809188"/>
    <s v="null"/>
  </r>
  <r>
    <n v="803732"/>
    <s v="Valentine "/>
    <s v="Pascarella"/>
    <s v="Valentine 474@abcmail.com"/>
    <x v="2"/>
    <x v="5"/>
    <x v="5"/>
    <x v="3"/>
    <x v="30"/>
    <n v="803732"/>
    <x v="3"/>
    <d v="2016-01-15T00:55:00"/>
    <d v="2016-01-15T00:00:00"/>
    <d v="2016-01-15T00:00:00"/>
    <x v="626"/>
    <x v="237"/>
    <n v="803732"/>
    <s v="null"/>
  </r>
  <r>
    <n v="803732"/>
    <s v="Valentine "/>
    <s v="Pascarella"/>
    <s v="Valentine 474@abcmail.com"/>
    <x v="2"/>
    <x v="5"/>
    <x v="5"/>
    <x v="3"/>
    <x v="30"/>
    <n v="803732"/>
    <x v="5"/>
    <d v="2016-01-13T22:01:00"/>
    <d v="2016-01-13T00:00:00"/>
    <d v="2016-01-13T00:00:00"/>
    <x v="465"/>
    <x v="320"/>
    <n v="803732"/>
    <s v="null"/>
  </r>
  <r>
    <n v="803732"/>
    <s v="Valentine "/>
    <s v="Pascarella"/>
    <s v="Valentine 474@abcmail.com"/>
    <x v="2"/>
    <x v="5"/>
    <x v="5"/>
    <x v="3"/>
    <x v="30"/>
    <n v="803732"/>
    <x v="1"/>
    <d v="2016-02-06T21:18:00"/>
    <d v="2016-02-06T00:00:00"/>
    <d v="2016-02-06T00:00:00"/>
    <x v="627"/>
    <x v="112"/>
    <n v="803732"/>
    <s v="null"/>
  </r>
  <r>
    <n v="803732"/>
    <s v="Valentine "/>
    <s v="Pascarella"/>
    <s v="Valentine 474@abcmail.com"/>
    <x v="2"/>
    <x v="5"/>
    <x v="5"/>
    <x v="3"/>
    <x v="30"/>
    <n v="803732"/>
    <x v="2"/>
    <d v="2016-02-09T19:26:00"/>
    <d v="2016-02-09T00:00:00"/>
    <d v="2016-02-09T00:00:00"/>
    <x v="376"/>
    <x v="154"/>
    <n v="803732"/>
    <s v="null"/>
  </r>
  <r>
    <n v="790685"/>
    <s v="Brendan "/>
    <s v="Sytsma"/>
    <s v="Brendan 454@abcmail.com"/>
    <x v="2"/>
    <x v="2"/>
    <x v="28"/>
    <x v="3"/>
    <x v="54"/>
    <n v="790685"/>
    <x v="10"/>
    <d v="2016-02-14T09:36:00"/>
    <d v="2016-02-14T00:00:00"/>
    <d v="2016-02-14T00:00:00"/>
    <x v="628"/>
    <x v="418"/>
    <n v="790685"/>
    <s v="null"/>
  </r>
  <r>
    <n v="791575"/>
    <s v="Randy "/>
    <s v="Fudge"/>
    <s v="Randy 391@yahoo.com"/>
    <x v="2"/>
    <x v="2"/>
    <x v="28"/>
    <x v="2"/>
    <x v="28"/>
    <n v="791575"/>
    <x v="5"/>
    <d v="2016-01-15T21:34:00"/>
    <d v="2016-01-15T00:00:00"/>
    <d v="2016-01-15T00:00:00"/>
    <x v="193"/>
    <x v="299"/>
    <n v="791575"/>
    <s v="null"/>
  </r>
  <r>
    <n v="791575"/>
    <s v="Randy "/>
    <s v="Fudge"/>
    <s v="Randy 391@yahoo.com"/>
    <x v="2"/>
    <x v="2"/>
    <x v="28"/>
    <x v="2"/>
    <x v="28"/>
    <n v="791575"/>
    <x v="6"/>
    <d v="2016-01-16T21:09:00"/>
    <d v="2016-01-16T00:00:00"/>
    <d v="2016-01-16T00:00:00"/>
    <x v="367"/>
    <x v="486"/>
    <n v="791575"/>
    <s v="null"/>
  </r>
  <r>
    <n v="809192"/>
    <s v="Royal "/>
    <s v="Mastrangelo"/>
    <s v="Royal 171@yahoo.com"/>
    <x v="2"/>
    <x v="2"/>
    <x v="19"/>
    <x v="5"/>
    <x v="23"/>
    <n v="809192"/>
    <x v="10"/>
    <d v="2016-02-14T19:17:00"/>
    <d v="2016-02-14T00:00:00"/>
    <d v="2016-02-14T00:00:00"/>
    <x v="299"/>
    <x v="488"/>
    <n v="809192"/>
    <s v="null"/>
  </r>
  <r>
    <n v="792875"/>
    <s v="Bernardo "/>
    <s v="Langenfeld"/>
    <s v="Bernardo 323@mail.com"/>
    <x v="2"/>
    <x v="5"/>
    <x v="7"/>
    <x v="3"/>
    <x v="89"/>
    <n v="792875"/>
    <x v="4"/>
    <d v="2016-03-24T17:10:00"/>
    <d v="2016-03-24T00:00:00"/>
    <d v="2016-03-24T00:00:00"/>
    <x v="629"/>
    <x v="495"/>
    <n v="792875"/>
    <s v="null"/>
  </r>
  <r>
    <n v="809197"/>
    <s v="Dion "/>
    <s v="Styer"/>
    <s v="Dion 335@mailxyz.com"/>
    <x v="2"/>
    <x v="4"/>
    <x v="28"/>
    <x v="4"/>
    <x v="70"/>
    <n v="809197"/>
    <x v="4"/>
    <d v="2016-02-18T12:41:00"/>
    <d v="2016-02-18T00:00:00"/>
    <d v="2016-02-18T00:00:00"/>
    <x v="217"/>
    <x v="496"/>
    <n v="809197"/>
    <s v="null"/>
  </r>
  <r>
    <n v="809197"/>
    <s v="Dion "/>
    <s v="Styer"/>
    <s v="Dion 335@mailxyz.com"/>
    <x v="2"/>
    <x v="4"/>
    <x v="28"/>
    <x v="4"/>
    <x v="70"/>
    <n v="809197"/>
    <x v="4"/>
    <d v="2016-02-15T22:23:00"/>
    <d v="2016-02-15T00:00:00"/>
    <d v="2016-02-15T00:00:00"/>
    <x v="63"/>
    <x v="10"/>
    <n v="809197"/>
    <s v="null"/>
  </r>
  <r>
    <n v="809197"/>
    <s v="Dion "/>
    <s v="Styer"/>
    <s v="Dion 335@mailxyz.com"/>
    <x v="2"/>
    <x v="4"/>
    <x v="28"/>
    <x v="4"/>
    <x v="70"/>
    <n v="809197"/>
    <x v="0"/>
    <d v="2016-02-24T14:14:00"/>
    <d v="2016-02-24T00:00:00"/>
    <d v="2016-02-24T00:00:00"/>
    <x v="158"/>
    <x v="497"/>
    <n v="809197"/>
    <s v="null"/>
  </r>
  <r>
    <n v="809197"/>
    <s v="Dion "/>
    <s v="Styer"/>
    <s v="Dion 335@mailxyz.com"/>
    <x v="2"/>
    <x v="4"/>
    <x v="28"/>
    <x v="4"/>
    <x v="70"/>
    <n v="809197"/>
    <x v="4"/>
    <d v="2016-02-16T19:10:00"/>
    <d v="2016-02-16T00:00:00"/>
    <d v="2016-02-16T00:00:00"/>
    <x v="454"/>
    <x v="498"/>
    <n v="809197"/>
    <s v="null"/>
  </r>
  <r>
    <n v="809197"/>
    <s v="Dion "/>
    <s v="Styer"/>
    <s v="Dion 335@mailxyz.com"/>
    <x v="2"/>
    <x v="4"/>
    <x v="28"/>
    <x v="4"/>
    <x v="70"/>
    <n v="809197"/>
    <x v="8"/>
    <d v="2016-02-06T14:27:00"/>
    <d v="2016-02-06T00:00:00"/>
    <d v="2016-02-06T00:00:00"/>
    <x v="630"/>
    <x v="145"/>
    <n v="809197"/>
    <s v="null"/>
  </r>
  <r>
    <n v="809198"/>
    <s v="Yong "/>
    <s v="Arrieta"/>
    <s v="Yong 483@mail.com"/>
    <x v="2"/>
    <x v="2"/>
    <x v="13"/>
    <x v="5"/>
    <x v="3"/>
    <n v="809198"/>
    <x v="4"/>
    <d v="2016-02-05T14:13:00"/>
    <d v="2016-02-05T00:00:00"/>
    <d v="2016-02-05T00:00:00"/>
    <x v="514"/>
    <x v="499"/>
    <n v="809198"/>
    <s v="null"/>
  </r>
  <r>
    <n v="809198"/>
    <s v="Yong "/>
    <s v="Arrieta"/>
    <s v="Yong 483@mail.com"/>
    <x v="2"/>
    <x v="2"/>
    <x v="13"/>
    <x v="5"/>
    <x v="3"/>
    <n v="809198"/>
    <x v="3"/>
    <d v="2016-02-05T22:38:00"/>
    <d v="2016-02-05T00:00:00"/>
    <d v="2016-02-05T00:00:00"/>
    <x v="631"/>
    <x v="331"/>
    <n v="809198"/>
    <s v="null"/>
  </r>
  <r>
    <n v="809198"/>
    <s v="Yong "/>
    <s v="Arrieta"/>
    <s v="Yong 483@mail.com"/>
    <x v="2"/>
    <x v="2"/>
    <x v="13"/>
    <x v="5"/>
    <x v="3"/>
    <n v="809198"/>
    <x v="3"/>
    <d v="2016-02-11T19:47:00"/>
    <d v="2016-02-11T00:00:00"/>
    <d v="2016-02-11T00:00:00"/>
    <x v="632"/>
    <x v="500"/>
    <n v="809198"/>
    <s v="null"/>
  </r>
  <r>
    <n v="809198"/>
    <s v="Yong "/>
    <s v="Arrieta"/>
    <s v="Yong 483@mail.com"/>
    <x v="2"/>
    <x v="2"/>
    <x v="13"/>
    <x v="5"/>
    <x v="3"/>
    <n v="809198"/>
    <x v="3"/>
    <d v="2016-02-10T20:41:00"/>
    <d v="2016-02-10T00:00:00"/>
    <d v="2016-02-10T00:00:00"/>
    <x v="516"/>
    <x v="89"/>
    <n v="809198"/>
    <s v="null"/>
  </r>
  <r>
    <n v="809199"/>
    <s v="Charlie "/>
    <s v="Beville"/>
    <s v="Charlie 361@yahoo.com"/>
    <x v="2"/>
    <x v="4"/>
    <x v="12"/>
    <x v="4"/>
    <x v="52"/>
    <n v="809199"/>
    <x v="0"/>
    <d v="2016-03-05T13:09:00"/>
    <d v="2016-03-05T00:00:00"/>
    <d v="2016-03-05T00:00:00"/>
    <x v="116"/>
    <x v="501"/>
    <n v="809199"/>
    <s v="null"/>
  </r>
  <r>
    <n v="809199"/>
    <s v="Charlie "/>
    <s v="Beville"/>
    <s v="Charlie 361@yahoo.com"/>
    <x v="2"/>
    <x v="4"/>
    <x v="12"/>
    <x v="4"/>
    <x v="52"/>
    <n v="809199"/>
    <x v="9"/>
    <d v="2016-01-13T22:45:00"/>
    <d v="2016-01-13T00:00:00"/>
    <d v="2016-01-13T00:00:00"/>
    <x v="633"/>
    <x v="73"/>
    <n v="809199"/>
    <s v="null"/>
  </r>
  <r>
    <n v="793835"/>
    <s v="Jacinto "/>
    <s v="Restivo"/>
    <s v="Jacinto 252@gmail.com"/>
    <x v="2"/>
    <x v="1"/>
    <x v="19"/>
    <x v="8"/>
    <x v="19"/>
    <n v="793835"/>
    <x v="11"/>
    <d v="2016-01-18T01:22:00"/>
    <d v="2016-01-18T00:00:00"/>
    <d v="2016-01-18T00:00:00"/>
    <x v="634"/>
    <x v="93"/>
    <n v="793835"/>
    <s v="null"/>
  </r>
  <r>
    <n v="808093"/>
    <s v="None"/>
    <s v="None"/>
    <s v="Luanna 423@mail.com"/>
    <x v="0"/>
    <x v="0"/>
    <x v="0"/>
    <x v="0"/>
    <x v="0"/>
    <n v="808093"/>
    <x v="4"/>
    <d v="2016-03-27T18:31:00"/>
    <d v="2016-03-27T00:00:00"/>
    <d v="2016-03-27T00:00:00"/>
    <x v="635"/>
    <x v="90"/>
    <n v="808093"/>
    <s v="null"/>
  </r>
  <r>
    <n v="809204"/>
    <s v="Wilton "/>
    <s v="Gettys"/>
    <s v="Wilton 414@abcmail.com"/>
    <x v="2"/>
    <x v="2"/>
    <x v="23"/>
    <x v="9"/>
    <x v="85"/>
    <n v="809204"/>
    <x v="4"/>
    <d v="2016-02-05T15:00:00"/>
    <d v="2016-02-05T00:00:00"/>
    <d v="2016-02-05T00:00:00"/>
    <x v="442"/>
    <x v="10"/>
    <n v="809204"/>
    <s v="null"/>
  </r>
  <r>
    <n v="809204"/>
    <s v="Wilton "/>
    <s v="Gettys"/>
    <s v="Wilton 414@abcmail.com"/>
    <x v="2"/>
    <x v="2"/>
    <x v="23"/>
    <x v="9"/>
    <x v="85"/>
    <n v="809204"/>
    <x v="0"/>
    <d v="2016-03-03T10:40:00"/>
    <d v="2016-03-03T00:00:00"/>
    <d v="2016-03-03T00:00:00"/>
    <x v="5"/>
    <x v="10"/>
    <n v="809204"/>
    <s v="null"/>
  </r>
  <r>
    <n v="809204"/>
    <s v="Wilton "/>
    <s v="Gettys"/>
    <s v="Wilton 414@abcmail.com"/>
    <x v="2"/>
    <x v="2"/>
    <x v="23"/>
    <x v="9"/>
    <x v="85"/>
    <n v="809204"/>
    <x v="5"/>
    <d v="2016-03-03T20:02:00"/>
    <d v="2016-03-03T00:00:00"/>
    <d v="2016-03-03T00:00:00"/>
    <x v="512"/>
    <x v="502"/>
    <n v="809204"/>
    <s v="null"/>
  </r>
  <r>
    <n v="809204"/>
    <s v="Wilton "/>
    <s v="Gettys"/>
    <s v="Wilton 414@abcmail.com"/>
    <x v="2"/>
    <x v="2"/>
    <x v="23"/>
    <x v="9"/>
    <x v="85"/>
    <n v="809204"/>
    <x v="5"/>
    <d v="2016-01-12T06:55:00"/>
    <d v="2016-01-12T00:00:00"/>
    <d v="2016-01-12T00:00:00"/>
    <x v="562"/>
    <x v="10"/>
    <n v="809204"/>
    <s v="null"/>
  </r>
  <r>
    <n v="809204"/>
    <s v="Wilton "/>
    <s v="Gettys"/>
    <s v="Wilton 414@abcmail.com"/>
    <x v="2"/>
    <x v="2"/>
    <x v="23"/>
    <x v="9"/>
    <x v="85"/>
    <n v="809204"/>
    <x v="0"/>
    <d v="2016-03-05T19:08:00"/>
    <d v="2016-03-05T00:00:00"/>
    <d v="2016-03-05T00:00:00"/>
    <x v="636"/>
    <x v="10"/>
    <n v="809204"/>
    <s v="null"/>
  </r>
  <r>
    <n v="809204"/>
    <s v="Wilton "/>
    <s v="Gettys"/>
    <s v="Wilton 414@abcmail.com"/>
    <x v="2"/>
    <x v="2"/>
    <x v="23"/>
    <x v="9"/>
    <x v="85"/>
    <n v="809204"/>
    <x v="0"/>
    <d v="2016-03-29T19:00:00"/>
    <d v="2016-03-29T00:00:00"/>
    <d v="2016-03-29T00:00:00"/>
    <x v="78"/>
    <x v="503"/>
    <n v="809204"/>
    <s v="null"/>
  </r>
  <r>
    <n v="809204"/>
    <s v="Wilton "/>
    <s v="Gettys"/>
    <s v="Wilton 414@abcmail.com"/>
    <x v="2"/>
    <x v="2"/>
    <x v="23"/>
    <x v="9"/>
    <x v="85"/>
    <n v="809204"/>
    <x v="8"/>
    <d v="2016-03-27T15:08:00"/>
    <d v="2016-03-27T00:00:00"/>
    <d v="2016-03-27T00:00:00"/>
    <x v="637"/>
    <x v="10"/>
    <n v="809204"/>
    <s v="null"/>
  </r>
  <r>
    <n v="809207"/>
    <s v="Yong "/>
    <s v="Wigfall"/>
    <s v="Yong 484@abcmail.com"/>
    <x v="2"/>
    <x v="4"/>
    <x v="36"/>
    <x v="6"/>
    <x v="3"/>
    <n v="809207"/>
    <x v="0"/>
    <d v="2016-03-02T13:09:00"/>
    <d v="2016-03-02T00:00:00"/>
    <d v="2016-03-02T00:00:00"/>
    <x v="116"/>
    <x v="504"/>
    <n v="809207"/>
    <s v="null"/>
  </r>
  <r>
    <n v="803748"/>
    <s v="Kip "/>
    <s v="Holt"/>
    <s v="Kip 144@abcmail.com"/>
    <x v="2"/>
    <x v="5"/>
    <x v="12"/>
    <x v="1"/>
    <x v="13"/>
    <n v="803748"/>
    <x v="0"/>
    <d v="2016-02-19T18:33:00"/>
    <d v="2016-02-19T00:00:00"/>
    <d v="2016-02-19T00:00:00"/>
    <x v="417"/>
    <x v="505"/>
    <n v="803748"/>
    <s v="null"/>
  </r>
  <r>
    <n v="809209"/>
    <s v="Garry "/>
    <s v="Holt"/>
    <s v="Garry 283@mail.com"/>
    <x v="2"/>
    <x v="0"/>
    <x v="7"/>
    <x v="4"/>
    <x v="2"/>
    <n v="809209"/>
    <x v="2"/>
    <d v="2016-01-09T13:19:00"/>
    <d v="2016-01-09T00:00:00"/>
    <d v="2016-01-09T00:00:00"/>
    <x v="638"/>
    <x v="506"/>
    <n v="809209"/>
    <s v="null"/>
  </r>
  <r>
    <n v="809209"/>
    <s v="Garry "/>
    <s v="Holt"/>
    <s v="Garry 283@mail.com"/>
    <x v="2"/>
    <x v="0"/>
    <x v="7"/>
    <x v="4"/>
    <x v="2"/>
    <n v="809209"/>
    <x v="8"/>
    <d v="2016-01-10T15:13:00"/>
    <d v="2016-01-10T00:00:00"/>
    <d v="2016-01-10T00:00:00"/>
    <x v="639"/>
    <x v="237"/>
    <n v="809209"/>
    <s v="null"/>
  </r>
  <r>
    <n v="809209"/>
    <s v="Garry "/>
    <s v="Holt"/>
    <s v="Garry 283@mail.com"/>
    <x v="2"/>
    <x v="0"/>
    <x v="7"/>
    <x v="4"/>
    <x v="2"/>
    <n v="809209"/>
    <x v="2"/>
    <d v="2016-02-18T05:16:00"/>
    <d v="2016-02-18T00:00:00"/>
    <d v="2016-02-18T00:00:00"/>
    <x v="640"/>
    <x v="507"/>
    <n v="809209"/>
    <s v="null"/>
  </r>
  <r>
    <n v="809209"/>
    <s v="Garry "/>
    <s v="Holt"/>
    <s v="Garry 283@mail.com"/>
    <x v="2"/>
    <x v="0"/>
    <x v="7"/>
    <x v="4"/>
    <x v="2"/>
    <n v="809209"/>
    <x v="2"/>
    <d v="2016-02-23T09:31:00"/>
    <d v="2016-02-23T00:00:00"/>
    <d v="2016-02-23T00:00:00"/>
    <x v="142"/>
    <x v="508"/>
    <n v="809209"/>
    <s v="null"/>
  </r>
  <r>
    <n v="802532"/>
    <s v="None"/>
    <s v="None"/>
    <s v="Eula 64@abcmail.com"/>
    <x v="0"/>
    <x v="0"/>
    <x v="0"/>
    <x v="0"/>
    <x v="0"/>
    <n v="802532"/>
    <x v="9"/>
    <d v="2016-03-14T12:12:00"/>
    <d v="2016-03-14T00:00:00"/>
    <d v="2016-03-14T00:00:00"/>
    <x v="569"/>
    <x v="33"/>
    <n v="802532"/>
    <s v="null"/>
  </r>
  <r>
    <n v="803754"/>
    <s v="Desirae "/>
    <s v="Luthy"/>
    <s v="Desirae 34@abcmail.com"/>
    <x v="1"/>
    <x v="2"/>
    <x v="2"/>
    <x v="9"/>
    <x v="108"/>
    <n v="803754"/>
    <x v="9"/>
    <d v="2016-02-19T17:21:00"/>
    <d v="2016-02-19T00:00:00"/>
    <d v="2016-02-19T00:00:00"/>
    <x v="191"/>
    <x v="118"/>
    <n v="803754"/>
    <s v="null"/>
  </r>
  <r>
    <n v="803754"/>
    <s v="Desirae "/>
    <s v="Luthy"/>
    <s v="Desirae 34@abcmail.com"/>
    <x v="1"/>
    <x v="2"/>
    <x v="2"/>
    <x v="9"/>
    <x v="108"/>
    <n v="803754"/>
    <x v="3"/>
    <d v="2016-02-21T14:16:00"/>
    <d v="2016-02-21T00:00:00"/>
    <d v="2016-02-21T00:00:00"/>
    <x v="319"/>
    <x v="44"/>
    <n v="803754"/>
    <s v="null"/>
  </r>
  <r>
    <n v="809216"/>
    <s v="Hollis "/>
    <s v="Biggers"/>
    <s v="Hollis 385@mailxyz.com"/>
    <x v="2"/>
    <x v="2"/>
    <x v="23"/>
    <x v="2"/>
    <x v="29"/>
    <n v="809216"/>
    <x v="12"/>
    <d v="2016-03-11T11:04:00"/>
    <d v="2016-03-11T00:00:00"/>
    <d v="2016-03-11T00:00:00"/>
    <x v="0"/>
    <x v="509"/>
    <n v="809216"/>
    <s v="null"/>
  </r>
  <r>
    <n v="809216"/>
    <s v="Hollis "/>
    <s v="Biggers"/>
    <s v="Hollis 385@mailxyz.com"/>
    <x v="2"/>
    <x v="2"/>
    <x v="23"/>
    <x v="2"/>
    <x v="29"/>
    <n v="809216"/>
    <x v="1"/>
    <d v="2016-03-11T12:49:00"/>
    <d v="2016-03-11T00:00:00"/>
    <d v="2016-03-11T00:00:00"/>
    <x v="641"/>
    <x v="174"/>
    <n v="809216"/>
    <s v="null"/>
  </r>
  <r>
    <n v="809216"/>
    <s v="Hollis "/>
    <s v="Biggers"/>
    <s v="Hollis 385@mailxyz.com"/>
    <x v="2"/>
    <x v="2"/>
    <x v="23"/>
    <x v="2"/>
    <x v="29"/>
    <n v="809216"/>
    <x v="9"/>
    <d v="2016-02-04T14:24:00"/>
    <d v="2016-02-04T00:00:00"/>
    <d v="2016-02-04T00:00:00"/>
    <x v="642"/>
    <x v="236"/>
    <n v="809216"/>
    <s v="null"/>
  </r>
  <r>
    <n v="803807"/>
    <s v="Brendan "/>
    <s v="Pilot"/>
    <s v="Brendan 455@mailxyz.com"/>
    <x v="2"/>
    <x v="1"/>
    <x v="28"/>
    <x v="2"/>
    <x v="54"/>
    <n v="803807"/>
    <x v="4"/>
    <d v="2016-02-16T20:21:00"/>
    <d v="2016-02-16T00:00:00"/>
    <d v="2016-02-16T00:00:00"/>
    <x v="152"/>
    <x v="64"/>
    <n v="803807"/>
    <s v="null"/>
  </r>
  <r>
    <n v="803815"/>
    <s v="Eli "/>
    <s v="Deblois"/>
    <s v="Eli 295@mailxyz.com"/>
    <x v="2"/>
    <x v="1"/>
    <x v="13"/>
    <x v="2"/>
    <x v="44"/>
    <n v="803815"/>
    <x v="4"/>
    <d v="2016-02-19T17:31:00"/>
    <d v="2016-02-19T00:00:00"/>
    <d v="2016-02-19T00:00:00"/>
    <x v="315"/>
    <x v="117"/>
    <n v="803815"/>
    <s v="null"/>
  </r>
  <r>
    <n v="803815"/>
    <s v="Eli "/>
    <s v="Deblois"/>
    <s v="Eli 295@mailxyz.com"/>
    <x v="2"/>
    <x v="1"/>
    <x v="13"/>
    <x v="2"/>
    <x v="44"/>
    <n v="803815"/>
    <x v="5"/>
    <d v="2016-02-19T17:13:00"/>
    <d v="2016-02-19T00:00:00"/>
    <d v="2016-02-19T00:00:00"/>
    <x v="555"/>
    <x v="10"/>
    <n v="803815"/>
    <s v="null"/>
  </r>
  <r>
    <n v="803815"/>
    <s v="Eli "/>
    <s v="Deblois"/>
    <s v="Eli 295@mailxyz.com"/>
    <x v="2"/>
    <x v="1"/>
    <x v="13"/>
    <x v="2"/>
    <x v="44"/>
    <n v="803815"/>
    <x v="5"/>
    <d v="2016-02-19T19:22:00"/>
    <d v="2016-02-19T00:00:00"/>
    <d v="2016-02-19T00:00:00"/>
    <x v="371"/>
    <x v="10"/>
    <n v="803815"/>
    <s v="null"/>
  </r>
  <r>
    <n v="803827"/>
    <s v="Michel "/>
    <s v="Beville"/>
    <s v="Michel 205@mailxyz.com"/>
    <x v="2"/>
    <x v="5"/>
    <x v="40"/>
    <x v="6"/>
    <x v="34"/>
    <n v="803827"/>
    <x v="0"/>
    <d v="2016-02-19T10:47:00"/>
    <d v="2016-02-19T00:00:00"/>
    <d v="2016-02-19T00:00:00"/>
    <x v="202"/>
    <x v="38"/>
    <n v="803827"/>
    <s v="null"/>
  </r>
  <r>
    <n v="803847"/>
    <s v="Jacinto "/>
    <s v="Lavoie"/>
    <s v="Jacinto 253@mail.com"/>
    <x v="2"/>
    <x v="2"/>
    <x v="11"/>
    <x v="5"/>
    <x v="19"/>
    <n v="803847"/>
    <x v="0"/>
    <d v="2016-02-20T19:52:00"/>
    <d v="2016-02-20T00:00:00"/>
    <d v="2016-02-20T00:00:00"/>
    <x v="122"/>
    <x v="70"/>
    <n v="803847"/>
    <s v="null"/>
  </r>
  <r>
    <n v="803847"/>
    <s v="Jacinto "/>
    <s v="Lavoie"/>
    <s v="Jacinto 253@mail.com"/>
    <x v="2"/>
    <x v="2"/>
    <x v="11"/>
    <x v="5"/>
    <x v="19"/>
    <n v="803847"/>
    <x v="8"/>
    <d v="2016-02-19T21:22:00"/>
    <d v="2016-02-19T00:00:00"/>
    <d v="2016-02-19T00:00:00"/>
    <x v="296"/>
    <x v="94"/>
    <n v="803847"/>
    <s v="null"/>
  </r>
  <r>
    <n v="803847"/>
    <s v="Jacinto "/>
    <s v="Lavoie"/>
    <s v="Jacinto 253@mail.com"/>
    <x v="2"/>
    <x v="2"/>
    <x v="11"/>
    <x v="5"/>
    <x v="19"/>
    <n v="803847"/>
    <x v="11"/>
    <d v="2016-02-17T00:19:00"/>
    <d v="2016-02-17T00:00:00"/>
    <d v="2016-02-17T00:00:00"/>
    <x v="643"/>
    <x v="154"/>
    <n v="803847"/>
    <s v="null"/>
  </r>
  <r>
    <n v="803847"/>
    <s v="Jacinto "/>
    <s v="Lavoie"/>
    <s v="Jacinto 253@mail.com"/>
    <x v="2"/>
    <x v="2"/>
    <x v="11"/>
    <x v="5"/>
    <x v="19"/>
    <n v="803847"/>
    <x v="5"/>
    <d v="2016-02-17T07:18:00"/>
    <d v="2016-02-17T00:00:00"/>
    <d v="2016-02-17T00:00:00"/>
    <x v="644"/>
    <x v="257"/>
    <n v="803847"/>
    <s v="null"/>
  </r>
  <r>
    <n v="803847"/>
    <s v="Jacinto "/>
    <s v="Lavoie"/>
    <s v="Jacinto 253@mail.com"/>
    <x v="2"/>
    <x v="2"/>
    <x v="11"/>
    <x v="5"/>
    <x v="19"/>
    <n v="803847"/>
    <x v="3"/>
    <d v="2016-02-17T09:37:00"/>
    <d v="2016-02-17T00:00:00"/>
    <d v="2016-02-17T00:00:00"/>
    <x v="133"/>
    <x v="62"/>
    <n v="803847"/>
    <s v="null"/>
  </r>
  <r>
    <n v="809218"/>
    <s v="Loyd "/>
    <s v="Langenfeld"/>
    <s v="Loyd 495@mailxyz.com"/>
    <x v="2"/>
    <x v="0"/>
    <x v="45"/>
    <x v="4"/>
    <x v="24"/>
    <n v="809218"/>
    <x v="0"/>
    <d v="2016-02-24T10:56:00"/>
    <d v="2016-02-24T00:00:00"/>
    <d v="2016-02-24T00:00:00"/>
    <x v="645"/>
    <x v="104"/>
    <n v="809218"/>
    <s v="null"/>
  </r>
  <r>
    <n v="809218"/>
    <s v="Loyd "/>
    <s v="Langenfeld"/>
    <s v="Loyd 495@mailxyz.com"/>
    <x v="2"/>
    <x v="0"/>
    <x v="45"/>
    <x v="4"/>
    <x v="24"/>
    <n v="809218"/>
    <x v="4"/>
    <d v="2016-01-18T17:13:00"/>
    <d v="2016-01-18T00:00:00"/>
    <d v="2016-01-18T00:00:00"/>
    <x v="555"/>
    <x v="510"/>
    <n v="809218"/>
    <s v="null"/>
  </r>
  <r>
    <n v="808103"/>
    <s v="Samuel "/>
    <s v="Mccollum"/>
    <s v="Samuel 261@yahoo.com"/>
    <x v="2"/>
    <x v="5"/>
    <x v="30"/>
    <x v="1"/>
    <x v="72"/>
    <n v="808103"/>
    <x v="0"/>
    <d v="2016-02-23T13:14:00"/>
    <d v="2016-02-23T00:00:00"/>
    <d v="2016-02-23T00:00:00"/>
    <x v="646"/>
    <x v="511"/>
    <n v="808103"/>
    <s v="null"/>
  </r>
  <r>
    <n v="809222"/>
    <s v="Samuel "/>
    <s v="Styer"/>
    <s v="Samuel 264@abcmail.com"/>
    <x v="2"/>
    <x v="0"/>
    <x v="50"/>
    <x v="9"/>
    <x v="72"/>
    <n v="809222"/>
    <x v="5"/>
    <d v="2016-02-12T13:09:00"/>
    <d v="2016-02-12T00:00:00"/>
    <d v="2016-02-12T00:00:00"/>
    <x v="116"/>
    <x v="138"/>
    <n v="809222"/>
    <s v="null"/>
  </r>
  <r>
    <n v="809226"/>
    <s v="Yong "/>
    <s v="Mccollum"/>
    <s v="Yong 483@mail.com"/>
    <x v="2"/>
    <x v="4"/>
    <x v="6"/>
    <x v="4"/>
    <x v="3"/>
    <n v="809226"/>
    <x v="16"/>
    <d v="2016-02-05T22:16:00"/>
    <d v="2016-02-05T00:00:00"/>
    <d v="2016-02-05T00:00:00"/>
    <x v="647"/>
    <x v="512"/>
    <n v="809226"/>
    <s v="null"/>
  </r>
  <r>
    <n v="809226"/>
    <s v="Yong "/>
    <s v="Mccollum"/>
    <s v="Yong 483@mail.com"/>
    <x v="2"/>
    <x v="4"/>
    <x v="6"/>
    <x v="4"/>
    <x v="3"/>
    <n v="809226"/>
    <x v="1"/>
    <d v="2016-02-05T20:51:00"/>
    <d v="2016-02-05T00:00:00"/>
    <d v="2016-02-05T00:00:00"/>
    <x v="400"/>
    <x v="12"/>
    <n v="809226"/>
    <s v="null"/>
  </r>
  <r>
    <n v="809226"/>
    <s v="Yong "/>
    <s v="Mccollum"/>
    <s v="Yong 483@mail.com"/>
    <x v="2"/>
    <x v="4"/>
    <x v="6"/>
    <x v="4"/>
    <x v="3"/>
    <n v="809226"/>
    <x v="10"/>
    <d v="2016-01-22T17:07:00"/>
    <d v="2016-01-22T00:00:00"/>
    <d v="2016-01-22T00:00:00"/>
    <x v="648"/>
    <x v="513"/>
    <n v="809226"/>
    <s v="null"/>
  </r>
  <r>
    <n v="809226"/>
    <s v="Yong "/>
    <s v="Mccollum"/>
    <s v="Yong 483@mail.com"/>
    <x v="2"/>
    <x v="4"/>
    <x v="6"/>
    <x v="4"/>
    <x v="3"/>
    <n v="809226"/>
    <x v="5"/>
    <d v="2016-01-21T06:57:00"/>
    <d v="2016-01-21T00:00:00"/>
    <d v="2016-01-21T00:00:00"/>
    <x v="649"/>
    <x v="198"/>
    <n v="809226"/>
    <s v="null"/>
  </r>
  <r>
    <n v="809226"/>
    <s v="Yong "/>
    <s v="Mccollum"/>
    <s v="Yong 483@mail.com"/>
    <x v="2"/>
    <x v="4"/>
    <x v="6"/>
    <x v="4"/>
    <x v="3"/>
    <n v="809226"/>
    <x v="8"/>
    <d v="2016-01-21T13:34:00"/>
    <d v="2016-01-21T00:00:00"/>
    <d v="2016-01-21T00:00:00"/>
    <x v="293"/>
    <x v="514"/>
    <n v="809226"/>
    <s v="null"/>
  </r>
  <r>
    <n v="809228"/>
    <s v="Abel "/>
    <s v="Pascarella"/>
    <s v="Abel 183@mail.com"/>
    <x v="2"/>
    <x v="4"/>
    <x v="5"/>
    <x v="4"/>
    <x v="80"/>
    <n v="809228"/>
    <x v="9"/>
    <d v="2016-02-18T21:33:00"/>
    <d v="2016-02-18T00:00:00"/>
    <d v="2016-02-18T00:00:00"/>
    <x v="619"/>
    <x v="515"/>
    <n v="809228"/>
    <s v="null"/>
  </r>
  <r>
    <n v="809228"/>
    <s v="Abel "/>
    <s v="Pascarella"/>
    <s v="Abel 183@mail.com"/>
    <x v="2"/>
    <x v="4"/>
    <x v="5"/>
    <x v="4"/>
    <x v="80"/>
    <n v="809228"/>
    <x v="4"/>
    <d v="2016-02-06T17:27:00"/>
    <d v="2016-02-06T00:00:00"/>
    <d v="2016-02-06T00:00:00"/>
    <x v="511"/>
    <x v="10"/>
    <n v="809228"/>
    <s v="null"/>
  </r>
  <r>
    <n v="809228"/>
    <s v="Abel "/>
    <s v="Pascarella"/>
    <s v="Abel 183@mail.com"/>
    <x v="2"/>
    <x v="4"/>
    <x v="5"/>
    <x v="4"/>
    <x v="80"/>
    <n v="809228"/>
    <x v="4"/>
    <d v="2016-02-27T15:50:00"/>
    <d v="2016-02-27T00:00:00"/>
    <d v="2016-02-27T00:00:00"/>
    <x v="650"/>
    <x v="10"/>
    <n v="809228"/>
    <s v="null"/>
  </r>
  <r>
    <n v="809229"/>
    <s v="Jacinto "/>
    <s v="Gettys"/>
    <s v="Jacinto 255@mailxyz.com"/>
    <x v="2"/>
    <x v="4"/>
    <x v="22"/>
    <x v="4"/>
    <x v="19"/>
    <n v="809229"/>
    <x v="2"/>
    <d v="2016-02-19T17:44:00"/>
    <d v="2016-02-19T00:00:00"/>
    <d v="2016-02-19T00:00:00"/>
    <x v="651"/>
    <x v="516"/>
    <n v="809229"/>
    <s v="null"/>
  </r>
  <r>
    <n v="809229"/>
    <s v="Jacinto "/>
    <s v="Gettys"/>
    <s v="Jacinto 255@mailxyz.com"/>
    <x v="2"/>
    <x v="4"/>
    <x v="22"/>
    <x v="4"/>
    <x v="19"/>
    <n v="809229"/>
    <x v="4"/>
    <d v="2016-02-19T09:55:00"/>
    <d v="2016-02-19T00:00:00"/>
    <d v="2016-02-19T00:00:00"/>
    <x v="652"/>
    <x v="302"/>
    <n v="809229"/>
    <s v="null"/>
  </r>
  <r>
    <n v="809229"/>
    <s v="Jacinto "/>
    <s v="Gettys"/>
    <s v="Jacinto 255@mailxyz.com"/>
    <x v="2"/>
    <x v="4"/>
    <x v="22"/>
    <x v="4"/>
    <x v="19"/>
    <n v="809229"/>
    <x v="2"/>
    <d v="2016-02-19T11:38:00"/>
    <d v="2016-02-19T00:00:00"/>
    <d v="2016-02-19T00:00:00"/>
    <x v="36"/>
    <x v="118"/>
    <n v="809229"/>
    <s v="null"/>
  </r>
  <r>
    <n v="809229"/>
    <s v="Jacinto "/>
    <s v="Gettys"/>
    <s v="Jacinto 255@mailxyz.com"/>
    <x v="2"/>
    <x v="4"/>
    <x v="22"/>
    <x v="4"/>
    <x v="19"/>
    <n v="809229"/>
    <x v="3"/>
    <d v="2016-02-19T16:36:00"/>
    <d v="2016-02-19T00:00:00"/>
    <d v="2016-02-19T00:00:00"/>
    <x v="460"/>
    <x v="10"/>
    <n v="809229"/>
    <s v="null"/>
  </r>
  <r>
    <n v="809230"/>
    <s v="Markus "/>
    <s v="Tancredi"/>
    <s v="Markus 193@mail.com"/>
    <x v="2"/>
    <x v="2"/>
    <x v="24"/>
    <x v="2"/>
    <x v="61"/>
    <n v="809230"/>
    <x v="10"/>
    <d v="2016-02-22T12:30:00"/>
    <d v="2016-02-22T00:00:00"/>
    <d v="2016-02-22T00:00:00"/>
    <x v="368"/>
    <x v="517"/>
    <n v="809230"/>
    <s v="null"/>
  </r>
  <r>
    <n v="809230"/>
    <s v="Markus "/>
    <s v="Tancredi"/>
    <s v="Markus 193@mail.com"/>
    <x v="2"/>
    <x v="2"/>
    <x v="24"/>
    <x v="2"/>
    <x v="61"/>
    <n v="809230"/>
    <x v="6"/>
    <d v="2016-01-30T22:17:00"/>
    <d v="2016-01-30T00:00:00"/>
    <d v="2016-01-30T00:00:00"/>
    <x v="168"/>
    <x v="42"/>
    <n v="809230"/>
    <s v="null"/>
  </r>
  <r>
    <n v="809230"/>
    <s v="Markus "/>
    <s v="Tancredi"/>
    <s v="Markus 193@mail.com"/>
    <x v="2"/>
    <x v="2"/>
    <x v="24"/>
    <x v="2"/>
    <x v="61"/>
    <n v="809230"/>
    <x v="10"/>
    <d v="2016-01-30T23:17:00"/>
    <d v="2016-01-30T00:00:00"/>
    <d v="2016-01-30T00:00:00"/>
    <x v="188"/>
    <x v="518"/>
    <n v="809230"/>
    <s v="null"/>
  </r>
  <r>
    <n v="809230"/>
    <s v="Markus "/>
    <s v="Tancredi"/>
    <s v="Markus 193@mail.com"/>
    <x v="2"/>
    <x v="2"/>
    <x v="24"/>
    <x v="2"/>
    <x v="61"/>
    <n v="809230"/>
    <x v="10"/>
    <d v="2016-01-24T18:15:00"/>
    <d v="2016-01-24T00:00:00"/>
    <d v="2016-01-24T00:00:00"/>
    <x v="369"/>
    <x v="519"/>
    <n v="809230"/>
    <s v="null"/>
  </r>
  <r>
    <n v="809230"/>
    <s v="Markus "/>
    <s v="Tancredi"/>
    <s v="Markus 193@mail.com"/>
    <x v="2"/>
    <x v="2"/>
    <x v="24"/>
    <x v="2"/>
    <x v="61"/>
    <n v="809230"/>
    <x v="10"/>
    <d v="2016-01-13T12:31:00"/>
    <d v="2016-01-13T00:00:00"/>
    <d v="2016-01-13T00:00:00"/>
    <x v="279"/>
    <x v="520"/>
    <n v="809230"/>
    <s v="null"/>
  </r>
  <r>
    <m/>
    <m/>
    <m/>
    <m/>
    <x v="3"/>
    <x v="6"/>
    <x v="52"/>
    <x v="10"/>
    <x v="109"/>
    <m/>
    <x v="18"/>
    <m/>
    <m/>
    <m/>
    <x v="653"/>
    <x v="52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D0903-D757-4614-BA6C-4330D2A010F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20" firstHeaderRow="1" firstDataRow="1" firstDataCol="1"/>
  <pivotFields count="2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Count of Viewership.Tim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0D47A-C08F-4F2B-B5CD-69037EE8C858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5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2">
        <item x="1"/>
        <item x="8"/>
        <item x="2"/>
        <item x="3"/>
        <item x="6"/>
        <item x="5"/>
        <item x="0"/>
        <item x="9"/>
        <item x="7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655">
        <item x="422"/>
        <item x="198"/>
        <item x="303"/>
        <item x="199"/>
        <item x="80"/>
        <item x="482"/>
        <item x="643"/>
        <item x="553"/>
        <item x="418"/>
        <item x="447"/>
        <item x="626"/>
        <item x="416"/>
        <item x="146"/>
        <item x="320"/>
        <item x="539"/>
        <item x="415"/>
        <item x="265"/>
        <item x="634"/>
        <item x="463"/>
        <item x="587"/>
        <item x="250"/>
        <item x="579"/>
        <item x="421"/>
        <item x="604"/>
        <item x="425"/>
        <item x="586"/>
        <item x="97"/>
        <item x="381"/>
        <item x="308"/>
        <item x="64"/>
        <item x="372"/>
        <item x="489"/>
        <item x="380"/>
        <item x="110"/>
        <item x="195"/>
        <item x="227"/>
        <item x="589"/>
        <item x="155"/>
        <item x="215"/>
        <item x="588"/>
        <item x="240"/>
        <item x="95"/>
        <item x="599"/>
        <item x="473"/>
        <item x="321"/>
        <item x="640"/>
        <item x="559"/>
        <item x="102"/>
        <item x="360"/>
        <item x="295"/>
        <item x="464"/>
        <item x="339"/>
        <item x="273"/>
        <item x="272"/>
        <item x="119"/>
        <item x="173"/>
        <item x="377"/>
        <item x="153"/>
        <item x="174"/>
        <item x="364"/>
        <item x="286"/>
        <item x="561"/>
        <item x="336"/>
        <item x="136"/>
        <item x="132"/>
        <item x="3"/>
        <item x="287"/>
        <item x="592"/>
        <item x="219"/>
        <item x="340"/>
        <item x="62"/>
        <item x="623"/>
        <item x="624"/>
        <item x="582"/>
        <item x="581"/>
        <item x="544"/>
        <item x="222"/>
        <item x="562"/>
        <item x="649"/>
        <item x="580"/>
        <item x="363"/>
        <item x="43"/>
        <item x="495"/>
        <item x="101"/>
        <item x="238"/>
        <item x="499"/>
        <item x="318"/>
        <item x="644"/>
        <item x="51"/>
        <item x="481"/>
        <item x="220"/>
        <item x="275"/>
        <item x="143"/>
        <item x="334"/>
        <item x="7"/>
        <item x="274"/>
        <item x="335"/>
        <item x="204"/>
        <item x="453"/>
        <item x="443"/>
        <item x="129"/>
        <item x="60"/>
        <item x="396"/>
        <item x="13"/>
        <item x="391"/>
        <item x="269"/>
        <item x="154"/>
        <item x="221"/>
        <item x="245"/>
        <item x="445"/>
        <item x="450"/>
        <item x="446"/>
        <item x="414"/>
        <item x="20"/>
        <item x="341"/>
        <item x="536"/>
        <item x="431"/>
        <item x="22"/>
        <item x="160"/>
        <item x="4"/>
        <item x="159"/>
        <item x="356"/>
        <item x="325"/>
        <item x="288"/>
        <item x="614"/>
        <item x="121"/>
        <item x="225"/>
        <item x="67"/>
        <item x="606"/>
        <item x="576"/>
        <item x="113"/>
        <item x="437"/>
        <item x="401"/>
        <item x="114"/>
        <item x="402"/>
        <item x="205"/>
        <item x="327"/>
        <item x="432"/>
        <item x="449"/>
        <item x="239"/>
        <item x="236"/>
        <item x="19"/>
        <item x="524"/>
        <item x="563"/>
        <item x="261"/>
        <item x="600"/>
        <item x="228"/>
        <item x="257"/>
        <item x="478"/>
        <item x="142"/>
        <item x="590"/>
        <item x="55"/>
        <item x="628"/>
        <item x="133"/>
        <item x="231"/>
        <item x="408"/>
        <item x="397"/>
        <item x="483"/>
        <item x="509"/>
        <item x="280"/>
        <item x="652"/>
        <item x="124"/>
        <item x="549"/>
        <item x="176"/>
        <item x="435"/>
        <item x="469"/>
        <item x="359"/>
        <item x="564"/>
        <item x="433"/>
        <item x="399"/>
        <item x="125"/>
        <item x="328"/>
        <item x="35"/>
        <item x="90"/>
        <item x="38"/>
        <item x="289"/>
        <item x="271"/>
        <item x="5"/>
        <item x="556"/>
        <item x="58"/>
        <item x="202"/>
        <item x="256"/>
        <item x="530"/>
        <item x="572"/>
        <item x="426"/>
        <item x="157"/>
        <item x="645"/>
        <item x="309"/>
        <item x="625"/>
        <item x="200"/>
        <item x="444"/>
        <item x="0"/>
        <item x="575"/>
        <item x="621"/>
        <item x="283"/>
        <item x="150"/>
        <item x="519"/>
        <item x="419"/>
        <item x="161"/>
        <item x="479"/>
        <item x="322"/>
        <item x="529"/>
        <item x="352"/>
        <item x="471"/>
        <item x="468"/>
        <item x="34"/>
        <item x="405"/>
        <item x="406"/>
        <item x="118"/>
        <item x="89"/>
        <item x="355"/>
        <item x="350"/>
        <item x="104"/>
        <item x="36"/>
        <item x="349"/>
        <item x="268"/>
        <item x="33"/>
        <item x="284"/>
        <item x="87"/>
        <item x="28"/>
        <item x="607"/>
        <item x="393"/>
        <item x="486"/>
        <item x="522"/>
        <item x="494"/>
        <item x="306"/>
        <item x="358"/>
        <item x="394"/>
        <item x="165"/>
        <item x="307"/>
        <item x="485"/>
        <item x="569"/>
        <item x="21"/>
        <item x="281"/>
        <item x="570"/>
        <item x="571"/>
        <item x="123"/>
        <item x="382"/>
        <item x="84"/>
        <item x="470"/>
        <item x="368"/>
        <item x="279"/>
        <item x="285"/>
        <item x="53"/>
        <item x="44"/>
        <item x="554"/>
        <item x="217"/>
        <item x="505"/>
        <item x="45"/>
        <item x="75"/>
        <item x="177"/>
        <item x="641"/>
        <item x="523"/>
        <item x="314"/>
        <item x="459"/>
        <item x="332"/>
        <item x="9"/>
        <item x="116"/>
        <item x="137"/>
        <item x="646"/>
        <item x="436"/>
        <item x="194"/>
        <item x="109"/>
        <item x="638"/>
        <item x="37"/>
        <item x="541"/>
        <item x="93"/>
        <item x="407"/>
        <item x="216"/>
        <item x="357"/>
        <item x="224"/>
        <item x="293"/>
        <item x="496"/>
        <item x="201"/>
        <item x="185"/>
        <item x="388"/>
        <item x="255"/>
        <item x="105"/>
        <item x="608"/>
        <item x="504"/>
        <item x="42"/>
        <item x="613"/>
        <item x="106"/>
        <item x="23"/>
        <item x="111"/>
        <item x="577"/>
        <item x="26"/>
        <item x="139"/>
        <item x="184"/>
        <item x="310"/>
        <item x="259"/>
        <item x="514"/>
        <item x="158"/>
        <item x="30"/>
        <item x="319"/>
        <item x="65"/>
        <item x="41"/>
        <item x="605"/>
        <item x="410"/>
        <item x="500"/>
        <item x="612"/>
        <item x="642"/>
        <item x="324"/>
        <item x="383"/>
        <item x="630"/>
        <item x="451"/>
        <item x="83"/>
        <item x="455"/>
        <item x="86"/>
        <item x="540"/>
        <item x="243"/>
        <item x="69"/>
        <item x="91"/>
        <item x="186"/>
        <item x="342"/>
        <item x="343"/>
        <item x="301"/>
        <item x="24"/>
        <item x="596"/>
        <item x="618"/>
        <item x="88"/>
        <item x="253"/>
        <item x="442"/>
        <item x="128"/>
        <item x="244"/>
        <item x="52"/>
        <item x="498"/>
        <item x="637"/>
        <item x="560"/>
        <item x="430"/>
        <item x="510"/>
        <item x="639"/>
        <item x="507"/>
        <item x="517"/>
        <item x="552"/>
        <item x="266"/>
        <item x="594"/>
        <item x="251"/>
        <item x="591"/>
        <item x="127"/>
        <item x="148"/>
        <item x="278"/>
        <item x="518"/>
        <item x="81"/>
        <item x="534"/>
        <item x="300"/>
        <item x="617"/>
        <item x="47"/>
        <item x="535"/>
        <item x="317"/>
        <item x="8"/>
        <item x="103"/>
        <item x="6"/>
        <item x="650"/>
        <item x="595"/>
        <item x="574"/>
        <item x="170"/>
        <item x="151"/>
        <item x="71"/>
        <item x="610"/>
        <item x="72"/>
        <item x="386"/>
        <item x="543"/>
        <item x="112"/>
        <item x="246"/>
        <item x="175"/>
        <item x="92"/>
        <item x="15"/>
        <item x="214"/>
        <item x="208"/>
        <item x="329"/>
        <item x="48"/>
        <item x="545"/>
        <item x="232"/>
        <item x="50"/>
        <item x="312"/>
        <item x="235"/>
        <item x="99"/>
        <item x="258"/>
        <item x="130"/>
        <item x="276"/>
        <item x="403"/>
        <item x="98"/>
        <item x="267"/>
        <item x="460"/>
        <item x="487"/>
        <item x="172"/>
        <item x="135"/>
        <item x="187"/>
        <item x="140"/>
        <item x="241"/>
        <item x="557"/>
        <item x="134"/>
        <item x="94"/>
        <item x="183"/>
        <item x="423"/>
        <item x="528"/>
        <item x="392"/>
        <item x="144"/>
        <item x="345"/>
        <item x="82"/>
        <item x="648"/>
        <item x="551"/>
        <item x="629"/>
        <item x="298"/>
        <item x="351"/>
        <item x="555"/>
        <item x="331"/>
        <item x="74"/>
        <item x="353"/>
        <item x="191"/>
        <item x="506"/>
        <item x="40"/>
        <item x="511"/>
        <item x="164"/>
        <item x="182"/>
        <item x="315"/>
        <item x="566"/>
        <item x="395"/>
        <item x="302"/>
        <item x="348"/>
        <item x="252"/>
        <item x="484"/>
        <item x="313"/>
        <item x="651"/>
        <item x="203"/>
        <item x="54"/>
        <item x="197"/>
        <item x="108"/>
        <item x="404"/>
        <item x="263"/>
        <item x="230"/>
        <item x="247"/>
        <item x="513"/>
        <item x="14"/>
        <item x="16"/>
        <item x="420"/>
        <item x="548"/>
        <item x="584"/>
        <item x="573"/>
        <item x="585"/>
        <item x="73"/>
        <item x="196"/>
        <item x="76"/>
        <item x="85"/>
        <item x="120"/>
        <item x="369"/>
        <item x="601"/>
        <item x="77"/>
        <item x="166"/>
        <item x="156"/>
        <item x="254"/>
        <item x="292"/>
        <item x="531"/>
        <item x="126"/>
        <item x="635"/>
        <item x="441"/>
        <item x="417"/>
        <item x="542"/>
        <item x="330"/>
        <item x="440"/>
        <item x="179"/>
        <item x="207"/>
        <item x="264"/>
        <item x="488"/>
        <item x="448"/>
        <item x="620"/>
        <item x="429"/>
        <item x="96"/>
        <item x="27"/>
        <item x="290"/>
        <item x="294"/>
        <item x="2"/>
        <item x="538"/>
        <item x="66"/>
        <item x="78"/>
        <item x="141"/>
        <item x="424"/>
        <item x="100"/>
        <item x="497"/>
        <item x="262"/>
        <item x="636"/>
        <item x="211"/>
        <item x="454"/>
        <item x="39"/>
        <item x="147"/>
        <item x="149"/>
        <item x="457"/>
        <item x="70"/>
        <item x="299"/>
        <item x="1"/>
        <item x="138"/>
        <item x="326"/>
        <item x="371"/>
        <item x="461"/>
        <item x="375"/>
        <item x="376"/>
        <item x="567"/>
        <item x="115"/>
        <item x="233"/>
        <item x="379"/>
        <item x="242"/>
        <item x="370"/>
        <item x="632"/>
        <item x="57"/>
        <item x="181"/>
        <item x="305"/>
        <item x="122"/>
        <item x="223"/>
        <item x="398"/>
        <item x="210"/>
        <item x="527"/>
        <item x="512"/>
        <item x="17"/>
        <item x="508"/>
        <item x="373"/>
        <item x="131"/>
        <item x="492"/>
        <item x="428"/>
        <item x="11"/>
        <item x="31"/>
        <item x="152"/>
        <item x="226"/>
        <item x="491"/>
        <item x="568"/>
        <item x="218"/>
        <item x="46"/>
        <item x="390"/>
        <item x="277"/>
        <item x="32"/>
        <item x="234"/>
        <item x="249"/>
        <item x="516"/>
        <item x="56"/>
        <item x="520"/>
        <item x="526"/>
        <item x="18"/>
        <item x="212"/>
        <item x="145"/>
        <item x="400"/>
        <item x="427"/>
        <item x="162"/>
        <item x="413"/>
        <item x="533"/>
        <item x="344"/>
        <item x="474"/>
        <item x="466"/>
        <item x="493"/>
        <item x="456"/>
        <item x="367"/>
        <item x="365"/>
        <item x="480"/>
        <item x="616"/>
        <item x="438"/>
        <item x="260"/>
        <item x="609"/>
        <item x="627"/>
        <item x="49"/>
        <item x="209"/>
        <item x="163"/>
        <item x="296"/>
        <item x="361"/>
        <item x="169"/>
        <item x="117"/>
        <item x="411"/>
        <item x="190"/>
        <item x="304"/>
        <item x="282"/>
        <item x="619"/>
        <item x="193"/>
        <item x="29"/>
        <item x="515"/>
        <item x="467"/>
        <item x="270"/>
        <item x="611"/>
        <item x="248"/>
        <item x="362"/>
        <item x="107"/>
        <item x="558"/>
        <item x="291"/>
        <item x="378"/>
        <item x="550"/>
        <item x="68"/>
        <item x="366"/>
        <item x="178"/>
        <item x="180"/>
        <item x="465"/>
        <item x="389"/>
        <item x="297"/>
        <item x="347"/>
        <item x="434"/>
        <item x="521"/>
        <item x="79"/>
        <item x="59"/>
        <item x="598"/>
        <item x="346"/>
        <item x="10"/>
        <item x="647"/>
        <item x="168"/>
        <item x="171"/>
        <item x="384"/>
        <item x="12"/>
        <item x="63"/>
        <item x="565"/>
        <item x="439"/>
        <item x="167"/>
        <item x="333"/>
        <item x="237"/>
        <item x="615"/>
        <item x="476"/>
        <item x="631"/>
        <item x="458"/>
        <item x="192"/>
        <item x="532"/>
        <item x="633"/>
        <item x="462"/>
        <item x="316"/>
        <item x="602"/>
        <item x="323"/>
        <item x="597"/>
        <item x="501"/>
        <item x="603"/>
        <item x="503"/>
        <item x="578"/>
        <item x="502"/>
        <item x="475"/>
        <item x="206"/>
        <item x="583"/>
        <item x="452"/>
        <item x="593"/>
        <item x="385"/>
        <item x="525"/>
        <item x="188"/>
        <item x="189"/>
        <item x="472"/>
        <item x="337"/>
        <item x="546"/>
        <item x="338"/>
        <item x="311"/>
        <item x="622"/>
        <item x="61"/>
        <item x="490"/>
        <item x="354"/>
        <item x="477"/>
        <item x="229"/>
        <item x="387"/>
        <item x="25"/>
        <item x="409"/>
        <item x="547"/>
        <item x="213"/>
        <item x="537"/>
        <item x="374"/>
        <item x="412"/>
        <item x="653"/>
        <item t="default"/>
      </items>
    </pivotField>
    <pivotField showAll="0"/>
    <pivotField showAll="0"/>
    <pivotField showAll="0"/>
    <pivotField dataField="1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dataField="1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Hours (Viewership.Time)" fld="19" subtotal="count" baseField="0" baseItem="0"/>
    <dataField name="Count of Minutes (Viewership.Time)" fld="18" subtotal="count" baseField="0" baseItem="0"/>
    <dataField name="Count of Viewership.Tim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553D5-B9F7-4CA4-875E-11B5E88A8B1A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20"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655">
        <item x="422"/>
        <item x="198"/>
        <item x="303"/>
        <item x="199"/>
        <item x="80"/>
        <item x="482"/>
        <item x="643"/>
        <item x="553"/>
        <item x="418"/>
        <item x="447"/>
        <item x="626"/>
        <item x="416"/>
        <item x="146"/>
        <item x="320"/>
        <item x="539"/>
        <item x="415"/>
        <item x="265"/>
        <item x="634"/>
        <item x="463"/>
        <item x="587"/>
        <item x="250"/>
        <item x="579"/>
        <item x="421"/>
        <item x="604"/>
        <item x="425"/>
        <item x="586"/>
        <item x="97"/>
        <item x="381"/>
        <item x="308"/>
        <item x="64"/>
        <item x="372"/>
        <item x="489"/>
        <item x="380"/>
        <item x="110"/>
        <item x="195"/>
        <item x="227"/>
        <item x="589"/>
        <item x="155"/>
        <item x="215"/>
        <item x="588"/>
        <item x="240"/>
        <item x="95"/>
        <item x="599"/>
        <item x="473"/>
        <item x="321"/>
        <item x="640"/>
        <item x="559"/>
        <item x="102"/>
        <item x="360"/>
        <item x="295"/>
        <item x="464"/>
        <item x="339"/>
        <item x="273"/>
        <item x="272"/>
        <item x="119"/>
        <item x="173"/>
        <item x="377"/>
        <item x="153"/>
        <item x="174"/>
        <item x="364"/>
        <item x="286"/>
        <item x="561"/>
        <item x="336"/>
        <item x="136"/>
        <item x="132"/>
        <item x="3"/>
        <item x="287"/>
        <item x="592"/>
        <item x="219"/>
        <item x="340"/>
        <item x="62"/>
        <item x="623"/>
        <item x="624"/>
        <item x="582"/>
        <item x="581"/>
        <item x="544"/>
        <item x="222"/>
        <item x="562"/>
        <item x="649"/>
        <item x="580"/>
        <item x="363"/>
        <item x="43"/>
        <item x="495"/>
        <item x="101"/>
        <item x="238"/>
        <item x="499"/>
        <item x="318"/>
        <item x="644"/>
        <item x="51"/>
        <item x="481"/>
        <item x="220"/>
        <item x="275"/>
        <item x="143"/>
        <item x="334"/>
        <item x="7"/>
        <item x="274"/>
        <item x="335"/>
        <item x="204"/>
        <item x="453"/>
        <item x="443"/>
        <item x="129"/>
        <item x="60"/>
        <item x="396"/>
        <item x="13"/>
        <item x="391"/>
        <item x="269"/>
        <item x="154"/>
        <item x="221"/>
        <item x="245"/>
        <item x="445"/>
        <item x="450"/>
        <item x="446"/>
        <item x="414"/>
        <item x="20"/>
        <item x="341"/>
        <item x="536"/>
        <item x="431"/>
        <item x="22"/>
        <item x="160"/>
        <item x="4"/>
        <item x="159"/>
        <item x="356"/>
        <item x="325"/>
        <item x="288"/>
        <item x="614"/>
        <item x="121"/>
        <item x="225"/>
        <item x="67"/>
        <item x="606"/>
        <item x="576"/>
        <item x="113"/>
        <item x="437"/>
        <item x="401"/>
        <item x="114"/>
        <item x="402"/>
        <item x="205"/>
        <item x="327"/>
        <item x="432"/>
        <item x="449"/>
        <item x="239"/>
        <item x="236"/>
        <item x="19"/>
        <item x="524"/>
        <item x="563"/>
        <item x="261"/>
        <item x="600"/>
        <item x="228"/>
        <item x="257"/>
        <item x="478"/>
        <item x="142"/>
        <item x="590"/>
        <item x="55"/>
        <item x="628"/>
        <item x="133"/>
        <item x="231"/>
        <item x="408"/>
        <item x="397"/>
        <item x="483"/>
        <item x="509"/>
        <item x="280"/>
        <item x="652"/>
        <item x="124"/>
        <item x="549"/>
        <item x="176"/>
        <item x="435"/>
        <item x="469"/>
        <item x="359"/>
        <item x="564"/>
        <item x="433"/>
        <item x="399"/>
        <item x="125"/>
        <item x="328"/>
        <item x="35"/>
        <item x="90"/>
        <item x="38"/>
        <item x="289"/>
        <item x="271"/>
        <item x="5"/>
        <item x="556"/>
        <item x="58"/>
        <item x="202"/>
        <item x="256"/>
        <item x="530"/>
        <item x="572"/>
        <item x="426"/>
        <item x="157"/>
        <item x="645"/>
        <item x="309"/>
        <item x="625"/>
        <item x="200"/>
        <item x="444"/>
        <item x="0"/>
        <item x="575"/>
        <item x="621"/>
        <item x="283"/>
        <item x="150"/>
        <item x="519"/>
        <item x="419"/>
        <item x="161"/>
        <item x="479"/>
        <item x="322"/>
        <item x="529"/>
        <item x="352"/>
        <item x="471"/>
        <item x="468"/>
        <item x="34"/>
        <item x="405"/>
        <item x="406"/>
        <item x="118"/>
        <item x="89"/>
        <item x="355"/>
        <item x="350"/>
        <item x="104"/>
        <item x="36"/>
        <item x="349"/>
        <item x="268"/>
        <item x="33"/>
        <item x="284"/>
        <item x="87"/>
        <item x="28"/>
        <item x="607"/>
        <item x="393"/>
        <item x="486"/>
        <item x="522"/>
        <item x="494"/>
        <item x="306"/>
        <item x="358"/>
        <item x="394"/>
        <item x="165"/>
        <item x="307"/>
        <item x="485"/>
        <item x="569"/>
        <item x="21"/>
        <item x="281"/>
        <item x="570"/>
        <item x="571"/>
        <item x="123"/>
        <item x="382"/>
        <item x="84"/>
        <item x="470"/>
        <item x="368"/>
        <item x="279"/>
        <item x="285"/>
        <item x="53"/>
        <item x="44"/>
        <item x="554"/>
        <item x="217"/>
        <item x="505"/>
        <item x="45"/>
        <item x="75"/>
        <item x="177"/>
        <item x="641"/>
        <item x="523"/>
        <item x="314"/>
        <item x="459"/>
        <item x="332"/>
        <item x="9"/>
        <item x="116"/>
        <item x="137"/>
        <item x="646"/>
        <item x="436"/>
        <item x="194"/>
        <item x="109"/>
        <item x="638"/>
        <item x="37"/>
        <item x="541"/>
        <item x="93"/>
        <item x="407"/>
        <item x="216"/>
        <item x="357"/>
        <item x="224"/>
        <item x="293"/>
        <item x="496"/>
        <item x="201"/>
        <item x="185"/>
        <item x="388"/>
        <item x="255"/>
        <item x="105"/>
        <item x="608"/>
        <item x="504"/>
        <item x="42"/>
        <item x="613"/>
        <item x="106"/>
        <item x="23"/>
        <item x="111"/>
        <item x="577"/>
        <item x="26"/>
        <item x="139"/>
        <item x="184"/>
        <item x="310"/>
        <item x="259"/>
        <item x="514"/>
        <item x="158"/>
        <item x="30"/>
        <item x="319"/>
        <item x="65"/>
        <item x="41"/>
        <item x="605"/>
        <item x="410"/>
        <item x="500"/>
        <item x="612"/>
        <item x="642"/>
        <item x="324"/>
        <item x="383"/>
        <item x="630"/>
        <item x="451"/>
        <item x="83"/>
        <item x="455"/>
        <item x="86"/>
        <item x="540"/>
        <item x="243"/>
        <item x="69"/>
        <item x="91"/>
        <item x="186"/>
        <item x="342"/>
        <item x="343"/>
        <item x="301"/>
        <item x="24"/>
        <item x="596"/>
        <item x="618"/>
        <item x="88"/>
        <item x="253"/>
        <item x="442"/>
        <item x="128"/>
        <item x="244"/>
        <item x="52"/>
        <item x="498"/>
        <item x="637"/>
        <item x="560"/>
        <item x="430"/>
        <item x="510"/>
        <item x="639"/>
        <item x="507"/>
        <item x="517"/>
        <item x="552"/>
        <item x="266"/>
        <item x="594"/>
        <item x="251"/>
        <item x="591"/>
        <item x="127"/>
        <item x="148"/>
        <item x="278"/>
        <item x="518"/>
        <item x="81"/>
        <item x="534"/>
        <item x="300"/>
        <item x="617"/>
        <item x="47"/>
        <item x="535"/>
        <item x="317"/>
        <item x="8"/>
        <item x="103"/>
        <item x="6"/>
        <item x="650"/>
        <item x="595"/>
        <item x="574"/>
        <item x="170"/>
        <item x="151"/>
        <item x="71"/>
        <item x="610"/>
        <item x="72"/>
        <item x="386"/>
        <item x="543"/>
        <item x="112"/>
        <item x="246"/>
        <item x="175"/>
        <item x="92"/>
        <item x="15"/>
        <item x="214"/>
        <item x="208"/>
        <item x="329"/>
        <item x="48"/>
        <item x="545"/>
        <item x="232"/>
        <item x="50"/>
        <item x="312"/>
        <item x="235"/>
        <item x="99"/>
        <item x="258"/>
        <item x="130"/>
        <item x="276"/>
        <item x="403"/>
        <item x="98"/>
        <item x="267"/>
        <item x="460"/>
        <item x="487"/>
        <item x="172"/>
        <item x="135"/>
        <item x="187"/>
        <item x="140"/>
        <item x="241"/>
        <item x="557"/>
        <item x="134"/>
        <item x="94"/>
        <item x="183"/>
        <item x="423"/>
        <item x="528"/>
        <item x="392"/>
        <item x="144"/>
        <item x="345"/>
        <item x="82"/>
        <item x="648"/>
        <item x="551"/>
        <item x="629"/>
        <item x="298"/>
        <item x="351"/>
        <item x="555"/>
        <item x="331"/>
        <item x="74"/>
        <item x="353"/>
        <item x="191"/>
        <item x="506"/>
        <item x="40"/>
        <item x="511"/>
        <item x="164"/>
        <item x="182"/>
        <item x="315"/>
        <item x="566"/>
        <item x="395"/>
        <item x="302"/>
        <item x="348"/>
        <item x="252"/>
        <item x="484"/>
        <item x="313"/>
        <item x="651"/>
        <item x="203"/>
        <item x="54"/>
        <item x="197"/>
        <item x="108"/>
        <item x="404"/>
        <item x="263"/>
        <item x="230"/>
        <item x="247"/>
        <item x="513"/>
        <item x="14"/>
        <item x="16"/>
        <item x="420"/>
        <item x="548"/>
        <item x="584"/>
        <item x="573"/>
        <item x="585"/>
        <item x="73"/>
        <item x="196"/>
        <item x="76"/>
        <item x="85"/>
        <item x="120"/>
        <item x="369"/>
        <item x="601"/>
        <item x="77"/>
        <item x="166"/>
        <item x="156"/>
        <item x="254"/>
        <item x="292"/>
        <item x="531"/>
        <item x="126"/>
        <item x="635"/>
        <item x="441"/>
        <item x="417"/>
        <item x="542"/>
        <item x="330"/>
        <item x="440"/>
        <item x="179"/>
        <item x="207"/>
        <item x="264"/>
        <item x="488"/>
        <item x="448"/>
        <item x="620"/>
        <item x="429"/>
        <item x="96"/>
        <item x="27"/>
        <item x="290"/>
        <item x="294"/>
        <item x="2"/>
        <item x="538"/>
        <item x="66"/>
        <item x="78"/>
        <item x="141"/>
        <item x="424"/>
        <item x="100"/>
        <item x="497"/>
        <item x="262"/>
        <item x="636"/>
        <item x="211"/>
        <item x="454"/>
        <item x="39"/>
        <item x="147"/>
        <item x="149"/>
        <item x="457"/>
        <item x="70"/>
        <item x="299"/>
        <item x="1"/>
        <item x="138"/>
        <item x="326"/>
        <item x="371"/>
        <item x="461"/>
        <item x="375"/>
        <item x="376"/>
        <item x="567"/>
        <item x="115"/>
        <item x="233"/>
        <item x="379"/>
        <item x="242"/>
        <item x="370"/>
        <item x="632"/>
        <item x="57"/>
        <item x="181"/>
        <item x="305"/>
        <item x="122"/>
        <item x="223"/>
        <item x="398"/>
        <item x="210"/>
        <item x="527"/>
        <item x="512"/>
        <item x="17"/>
        <item x="508"/>
        <item x="373"/>
        <item x="131"/>
        <item x="492"/>
        <item x="428"/>
        <item x="11"/>
        <item x="31"/>
        <item x="152"/>
        <item x="226"/>
        <item x="491"/>
        <item x="568"/>
        <item x="218"/>
        <item x="46"/>
        <item x="390"/>
        <item x="277"/>
        <item x="32"/>
        <item x="234"/>
        <item x="249"/>
        <item x="516"/>
        <item x="56"/>
        <item x="520"/>
        <item x="526"/>
        <item x="18"/>
        <item x="212"/>
        <item x="145"/>
        <item x="400"/>
        <item x="427"/>
        <item x="162"/>
        <item x="413"/>
        <item x="533"/>
        <item x="344"/>
        <item x="474"/>
        <item x="466"/>
        <item x="493"/>
        <item x="456"/>
        <item x="367"/>
        <item x="365"/>
        <item x="480"/>
        <item x="616"/>
        <item x="438"/>
        <item x="260"/>
        <item x="609"/>
        <item x="627"/>
        <item x="49"/>
        <item x="209"/>
        <item x="163"/>
        <item x="296"/>
        <item x="361"/>
        <item x="169"/>
        <item x="117"/>
        <item x="411"/>
        <item x="190"/>
        <item x="304"/>
        <item x="282"/>
        <item x="619"/>
        <item x="193"/>
        <item x="29"/>
        <item x="515"/>
        <item x="467"/>
        <item x="270"/>
        <item x="611"/>
        <item x="248"/>
        <item x="362"/>
        <item x="107"/>
        <item x="558"/>
        <item x="291"/>
        <item x="378"/>
        <item x="550"/>
        <item x="68"/>
        <item x="366"/>
        <item x="178"/>
        <item x="180"/>
        <item x="465"/>
        <item x="389"/>
        <item x="297"/>
        <item x="347"/>
        <item x="434"/>
        <item x="521"/>
        <item x="79"/>
        <item x="59"/>
        <item x="598"/>
        <item x="346"/>
        <item x="10"/>
        <item x="647"/>
        <item x="168"/>
        <item x="171"/>
        <item x="384"/>
        <item x="12"/>
        <item x="63"/>
        <item x="565"/>
        <item x="439"/>
        <item x="167"/>
        <item x="333"/>
        <item x="237"/>
        <item x="615"/>
        <item x="476"/>
        <item x="631"/>
        <item x="458"/>
        <item x="192"/>
        <item x="532"/>
        <item x="633"/>
        <item x="462"/>
        <item x="316"/>
        <item x="602"/>
        <item x="323"/>
        <item x="597"/>
        <item x="501"/>
        <item x="603"/>
        <item x="503"/>
        <item x="578"/>
        <item x="502"/>
        <item x="475"/>
        <item x="206"/>
        <item x="583"/>
        <item x="452"/>
        <item x="593"/>
        <item x="385"/>
        <item x="525"/>
        <item x="188"/>
        <item x="189"/>
        <item x="472"/>
        <item x="337"/>
        <item x="546"/>
        <item x="338"/>
        <item x="311"/>
        <item x="622"/>
        <item x="61"/>
        <item x="490"/>
        <item x="354"/>
        <item x="477"/>
        <item x="229"/>
        <item x="387"/>
        <item x="25"/>
        <item x="409"/>
        <item x="547"/>
        <item x="213"/>
        <item x="537"/>
        <item x="374"/>
        <item x="412"/>
        <item x="653"/>
        <item t="default"/>
      </items>
    </pivotField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ewership.Time" fld="1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5D5A3-BF5D-4F9F-86FF-A754783AD82E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0"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>
      <items count="8">
        <item x="2"/>
        <item x="4"/>
        <item x="5"/>
        <item x="0"/>
        <item x="3"/>
        <item x="1"/>
        <item x="6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655">
        <item x="422"/>
        <item x="198"/>
        <item x="303"/>
        <item x="199"/>
        <item x="80"/>
        <item x="482"/>
        <item x="643"/>
        <item x="553"/>
        <item x="418"/>
        <item x="447"/>
        <item x="626"/>
        <item x="416"/>
        <item x="146"/>
        <item x="320"/>
        <item x="539"/>
        <item x="415"/>
        <item x="265"/>
        <item x="634"/>
        <item x="463"/>
        <item x="587"/>
        <item x="250"/>
        <item x="579"/>
        <item x="421"/>
        <item x="604"/>
        <item x="425"/>
        <item x="586"/>
        <item x="97"/>
        <item x="381"/>
        <item x="308"/>
        <item x="64"/>
        <item x="372"/>
        <item x="489"/>
        <item x="380"/>
        <item x="110"/>
        <item x="195"/>
        <item x="227"/>
        <item x="589"/>
        <item x="155"/>
        <item x="215"/>
        <item x="588"/>
        <item x="240"/>
        <item x="95"/>
        <item x="599"/>
        <item x="473"/>
        <item x="321"/>
        <item x="640"/>
        <item x="559"/>
        <item x="102"/>
        <item x="360"/>
        <item x="295"/>
        <item x="464"/>
        <item x="339"/>
        <item x="273"/>
        <item x="272"/>
        <item x="119"/>
        <item x="173"/>
        <item x="377"/>
        <item x="153"/>
        <item x="174"/>
        <item x="364"/>
        <item x="286"/>
        <item x="561"/>
        <item x="336"/>
        <item x="136"/>
        <item x="132"/>
        <item x="3"/>
        <item x="287"/>
        <item x="592"/>
        <item x="219"/>
        <item x="340"/>
        <item x="62"/>
        <item x="623"/>
        <item x="624"/>
        <item x="582"/>
        <item x="581"/>
        <item x="544"/>
        <item x="222"/>
        <item x="562"/>
        <item x="649"/>
        <item x="580"/>
        <item x="363"/>
        <item x="43"/>
        <item x="495"/>
        <item x="101"/>
        <item x="238"/>
        <item x="499"/>
        <item x="318"/>
        <item x="644"/>
        <item x="51"/>
        <item x="481"/>
        <item x="220"/>
        <item x="275"/>
        <item x="143"/>
        <item x="334"/>
        <item x="7"/>
        <item x="274"/>
        <item x="335"/>
        <item x="204"/>
        <item x="453"/>
        <item x="443"/>
        <item x="129"/>
        <item x="60"/>
        <item x="396"/>
        <item x="13"/>
        <item x="391"/>
        <item x="269"/>
        <item x="154"/>
        <item x="221"/>
        <item x="245"/>
        <item x="445"/>
        <item x="450"/>
        <item x="446"/>
        <item x="414"/>
        <item x="20"/>
        <item x="341"/>
        <item x="536"/>
        <item x="431"/>
        <item x="22"/>
        <item x="160"/>
        <item x="4"/>
        <item x="159"/>
        <item x="356"/>
        <item x="325"/>
        <item x="288"/>
        <item x="614"/>
        <item x="121"/>
        <item x="225"/>
        <item x="67"/>
        <item x="606"/>
        <item x="576"/>
        <item x="113"/>
        <item x="437"/>
        <item x="401"/>
        <item x="114"/>
        <item x="402"/>
        <item x="205"/>
        <item x="327"/>
        <item x="432"/>
        <item x="449"/>
        <item x="239"/>
        <item x="236"/>
        <item x="19"/>
        <item x="524"/>
        <item x="563"/>
        <item x="261"/>
        <item x="600"/>
        <item x="228"/>
        <item x="257"/>
        <item x="478"/>
        <item x="142"/>
        <item x="590"/>
        <item x="55"/>
        <item x="628"/>
        <item x="133"/>
        <item x="231"/>
        <item x="408"/>
        <item x="397"/>
        <item x="483"/>
        <item x="509"/>
        <item x="280"/>
        <item x="652"/>
        <item x="124"/>
        <item x="549"/>
        <item x="176"/>
        <item x="435"/>
        <item x="469"/>
        <item x="359"/>
        <item x="564"/>
        <item x="433"/>
        <item x="399"/>
        <item x="125"/>
        <item x="328"/>
        <item x="35"/>
        <item x="90"/>
        <item x="38"/>
        <item x="289"/>
        <item x="271"/>
        <item x="5"/>
        <item x="556"/>
        <item x="58"/>
        <item x="202"/>
        <item x="256"/>
        <item x="530"/>
        <item x="572"/>
        <item x="426"/>
        <item x="157"/>
        <item x="645"/>
        <item x="309"/>
        <item x="625"/>
        <item x="200"/>
        <item x="444"/>
        <item x="0"/>
        <item x="575"/>
        <item x="621"/>
        <item x="283"/>
        <item x="150"/>
        <item x="519"/>
        <item x="419"/>
        <item x="161"/>
        <item x="479"/>
        <item x="322"/>
        <item x="529"/>
        <item x="352"/>
        <item x="471"/>
        <item x="468"/>
        <item x="34"/>
        <item x="405"/>
        <item x="406"/>
        <item x="118"/>
        <item x="89"/>
        <item x="355"/>
        <item x="350"/>
        <item x="104"/>
        <item x="36"/>
        <item x="349"/>
        <item x="268"/>
        <item x="33"/>
        <item x="284"/>
        <item x="87"/>
        <item x="28"/>
        <item x="607"/>
        <item x="393"/>
        <item x="486"/>
        <item x="522"/>
        <item x="494"/>
        <item x="306"/>
        <item x="358"/>
        <item x="394"/>
        <item x="165"/>
        <item x="307"/>
        <item x="485"/>
        <item x="569"/>
        <item x="21"/>
        <item x="281"/>
        <item x="570"/>
        <item x="571"/>
        <item x="123"/>
        <item x="382"/>
        <item x="84"/>
        <item x="470"/>
        <item x="368"/>
        <item x="279"/>
        <item x="285"/>
        <item x="53"/>
        <item x="44"/>
        <item x="554"/>
        <item x="217"/>
        <item x="505"/>
        <item x="45"/>
        <item x="75"/>
        <item x="177"/>
        <item x="641"/>
        <item x="523"/>
        <item x="314"/>
        <item x="459"/>
        <item x="332"/>
        <item x="9"/>
        <item x="116"/>
        <item x="137"/>
        <item x="646"/>
        <item x="436"/>
        <item x="194"/>
        <item x="109"/>
        <item x="638"/>
        <item x="37"/>
        <item x="541"/>
        <item x="93"/>
        <item x="407"/>
        <item x="216"/>
        <item x="357"/>
        <item x="224"/>
        <item x="293"/>
        <item x="496"/>
        <item x="201"/>
        <item x="185"/>
        <item x="388"/>
        <item x="255"/>
        <item x="105"/>
        <item x="608"/>
        <item x="504"/>
        <item x="42"/>
        <item x="613"/>
        <item x="106"/>
        <item x="23"/>
        <item x="111"/>
        <item x="577"/>
        <item x="26"/>
        <item x="139"/>
        <item x="184"/>
        <item x="310"/>
        <item x="259"/>
        <item x="514"/>
        <item x="158"/>
        <item x="30"/>
        <item x="319"/>
        <item x="65"/>
        <item x="41"/>
        <item x="605"/>
        <item x="410"/>
        <item x="500"/>
        <item x="612"/>
        <item x="642"/>
        <item x="324"/>
        <item x="383"/>
        <item x="630"/>
        <item x="451"/>
        <item x="83"/>
        <item x="455"/>
        <item x="86"/>
        <item x="540"/>
        <item x="243"/>
        <item x="69"/>
        <item x="91"/>
        <item x="186"/>
        <item x="342"/>
        <item x="343"/>
        <item x="301"/>
        <item x="24"/>
        <item x="596"/>
        <item x="618"/>
        <item x="88"/>
        <item x="253"/>
        <item x="442"/>
        <item x="128"/>
        <item x="244"/>
        <item x="52"/>
        <item x="498"/>
        <item x="637"/>
        <item x="560"/>
        <item x="430"/>
        <item x="510"/>
        <item x="639"/>
        <item x="507"/>
        <item x="517"/>
        <item x="552"/>
        <item x="266"/>
        <item x="594"/>
        <item x="251"/>
        <item x="591"/>
        <item x="127"/>
        <item x="148"/>
        <item x="278"/>
        <item x="518"/>
        <item x="81"/>
        <item x="534"/>
        <item x="300"/>
        <item x="617"/>
        <item x="47"/>
        <item x="535"/>
        <item x="317"/>
        <item x="8"/>
        <item x="103"/>
        <item x="6"/>
        <item x="650"/>
        <item x="595"/>
        <item x="574"/>
        <item x="170"/>
        <item x="151"/>
        <item x="71"/>
        <item x="610"/>
        <item x="72"/>
        <item x="386"/>
        <item x="543"/>
        <item x="112"/>
        <item x="246"/>
        <item x="175"/>
        <item x="92"/>
        <item x="15"/>
        <item x="214"/>
        <item x="208"/>
        <item x="329"/>
        <item x="48"/>
        <item x="545"/>
        <item x="232"/>
        <item x="50"/>
        <item x="312"/>
        <item x="235"/>
        <item x="99"/>
        <item x="258"/>
        <item x="130"/>
        <item x="276"/>
        <item x="403"/>
        <item x="98"/>
        <item x="267"/>
        <item x="460"/>
        <item x="487"/>
        <item x="172"/>
        <item x="135"/>
        <item x="187"/>
        <item x="140"/>
        <item x="241"/>
        <item x="557"/>
        <item x="134"/>
        <item x="94"/>
        <item x="183"/>
        <item x="423"/>
        <item x="528"/>
        <item x="392"/>
        <item x="144"/>
        <item x="345"/>
        <item x="82"/>
        <item x="648"/>
        <item x="551"/>
        <item x="629"/>
        <item x="298"/>
        <item x="351"/>
        <item x="555"/>
        <item x="331"/>
        <item x="74"/>
        <item x="353"/>
        <item x="191"/>
        <item x="506"/>
        <item x="40"/>
        <item x="511"/>
        <item x="164"/>
        <item x="182"/>
        <item x="315"/>
        <item x="566"/>
        <item x="395"/>
        <item x="302"/>
        <item x="348"/>
        <item x="252"/>
        <item x="484"/>
        <item x="313"/>
        <item x="651"/>
        <item x="203"/>
        <item x="54"/>
        <item x="197"/>
        <item x="108"/>
        <item x="404"/>
        <item x="263"/>
        <item x="230"/>
        <item x="247"/>
        <item x="513"/>
        <item x="14"/>
        <item x="16"/>
        <item x="420"/>
        <item x="548"/>
        <item x="584"/>
        <item x="573"/>
        <item x="585"/>
        <item x="73"/>
        <item x="196"/>
        <item x="76"/>
        <item x="85"/>
        <item x="120"/>
        <item x="369"/>
        <item x="601"/>
        <item x="77"/>
        <item x="166"/>
        <item x="156"/>
        <item x="254"/>
        <item x="292"/>
        <item x="531"/>
        <item x="126"/>
        <item x="635"/>
        <item x="441"/>
        <item x="417"/>
        <item x="542"/>
        <item x="330"/>
        <item x="440"/>
        <item x="179"/>
        <item x="207"/>
        <item x="264"/>
        <item x="488"/>
        <item x="448"/>
        <item x="620"/>
        <item x="429"/>
        <item x="96"/>
        <item x="27"/>
        <item x="290"/>
        <item x="294"/>
        <item x="2"/>
        <item x="538"/>
        <item x="66"/>
        <item x="78"/>
        <item x="141"/>
        <item x="424"/>
        <item x="100"/>
        <item x="497"/>
        <item x="262"/>
        <item x="636"/>
        <item x="211"/>
        <item x="454"/>
        <item x="39"/>
        <item x="147"/>
        <item x="149"/>
        <item x="457"/>
        <item x="70"/>
        <item x="299"/>
        <item x="1"/>
        <item x="138"/>
        <item x="326"/>
        <item x="371"/>
        <item x="461"/>
        <item x="375"/>
        <item x="376"/>
        <item x="567"/>
        <item x="115"/>
        <item x="233"/>
        <item x="379"/>
        <item x="242"/>
        <item x="370"/>
        <item x="632"/>
        <item x="57"/>
        <item x="181"/>
        <item x="305"/>
        <item x="122"/>
        <item x="223"/>
        <item x="398"/>
        <item x="210"/>
        <item x="527"/>
        <item x="512"/>
        <item x="17"/>
        <item x="508"/>
        <item x="373"/>
        <item x="131"/>
        <item x="492"/>
        <item x="428"/>
        <item x="11"/>
        <item x="31"/>
        <item x="152"/>
        <item x="226"/>
        <item x="491"/>
        <item x="568"/>
        <item x="218"/>
        <item x="46"/>
        <item x="390"/>
        <item x="277"/>
        <item x="32"/>
        <item x="234"/>
        <item x="249"/>
        <item x="516"/>
        <item x="56"/>
        <item x="520"/>
        <item x="526"/>
        <item x="18"/>
        <item x="212"/>
        <item x="145"/>
        <item x="400"/>
        <item x="427"/>
        <item x="162"/>
        <item x="413"/>
        <item x="533"/>
        <item x="344"/>
        <item x="474"/>
        <item x="466"/>
        <item x="493"/>
        <item x="456"/>
        <item x="367"/>
        <item x="365"/>
        <item x="480"/>
        <item x="616"/>
        <item x="438"/>
        <item x="260"/>
        <item x="609"/>
        <item x="627"/>
        <item x="49"/>
        <item x="209"/>
        <item x="163"/>
        <item x="296"/>
        <item x="361"/>
        <item x="169"/>
        <item x="117"/>
        <item x="411"/>
        <item x="190"/>
        <item x="304"/>
        <item x="282"/>
        <item x="619"/>
        <item x="193"/>
        <item x="29"/>
        <item x="515"/>
        <item x="467"/>
        <item x="270"/>
        <item x="611"/>
        <item x="248"/>
        <item x="362"/>
        <item x="107"/>
        <item x="558"/>
        <item x="291"/>
        <item x="378"/>
        <item x="550"/>
        <item x="68"/>
        <item x="366"/>
        <item x="178"/>
        <item x="180"/>
        <item x="465"/>
        <item x="389"/>
        <item x="297"/>
        <item x="347"/>
        <item x="434"/>
        <item x="521"/>
        <item x="79"/>
        <item x="59"/>
        <item x="598"/>
        <item x="346"/>
        <item x="10"/>
        <item x="647"/>
        <item x="168"/>
        <item x="171"/>
        <item x="384"/>
        <item x="12"/>
        <item x="63"/>
        <item x="565"/>
        <item x="439"/>
        <item x="167"/>
        <item x="333"/>
        <item x="237"/>
        <item x="615"/>
        <item x="476"/>
        <item x="631"/>
        <item x="458"/>
        <item x="192"/>
        <item x="532"/>
        <item x="633"/>
        <item x="462"/>
        <item x="316"/>
        <item x="602"/>
        <item x="323"/>
        <item x="597"/>
        <item x="501"/>
        <item x="603"/>
        <item x="503"/>
        <item x="578"/>
        <item x="502"/>
        <item x="475"/>
        <item x="206"/>
        <item x="583"/>
        <item x="452"/>
        <item x="593"/>
        <item x="385"/>
        <item x="525"/>
        <item x="188"/>
        <item x="189"/>
        <item x="472"/>
        <item x="337"/>
        <item x="546"/>
        <item x="338"/>
        <item x="311"/>
        <item x="622"/>
        <item x="61"/>
        <item x="490"/>
        <item x="354"/>
        <item x="477"/>
        <item x="229"/>
        <item x="387"/>
        <item x="25"/>
        <item x="409"/>
        <item x="547"/>
        <item x="213"/>
        <item x="537"/>
        <item x="374"/>
        <item x="412"/>
        <item x="653"/>
        <item t="default"/>
      </items>
    </pivotField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ewership.Time" fld="14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7BB8E-3608-4802-92BD-231833A8FDB9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Age Group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axis="axisRow" showAll="0">
      <items count="8">
        <item h="1"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655">
        <item x="422"/>
        <item x="198"/>
        <item x="303"/>
        <item x="199"/>
        <item x="80"/>
        <item x="482"/>
        <item x="643"/>
        <item x="553"/>
        <item x="418"/>
        <item x="447"/>
        <item x="626"/>
        <item x="416"/>
        <item x="146"/>
        <item x="320"/>
        <item x="539"/>
        <item x="415"/>
        <item x="265"/>
        <item x="634"/>
        <item x="463"/>
        <item x="587"/>
        <item x="250"/>
        <item x="579"/>
        <item x="421"/>
        <item x="604"/>
        <item x="425"/>
        <item x="586"/>
        <item x="97"/>
        <item x="381"/>
        <item x="308"/>
        <item x="64"/>
        <item x="372"/>
        <item x="489"/>
        <item x="380"/>
        <item x="110"/>
        <item x="195"/>
        <item x="227"/>
        <item x="589"/>
        <item x="155"/>
        <item x="215"/>
        <item x="588"/>
        <item x="240"/>
        <item x="95"/>
        <item x="599"/>
        <item x="473"/>
        <item x="321"/>
        <item x="640"/>
        <item x="559"/>
        <item x="102"/>
        <item x="360"/>
        <item x="295"/>
        <item x="464"/>
        <item x="339"/>
        <item x="273"/>
        <item x="272"/>
        <item x="119"/>
        <item x="173"/>
        <item x="377"/>
        <item x="153"/>
        <item x="174"/>
        <item x="364"/>
        <item x="286"/>
        <item x="561"/>
        <item x="336"/>
        <item x="136"/>
        <item x="132"/>
        <item x="3"/>
        <item x="287"/>
        <item x="592"/>
        <item x="219"/>
        <item x="340"/>
        <item x="62"/>
        <item x="623"/>
        <item x="624"/>
        <item x="582"/>
        <item x="581"/>
        <item x="544"/>
        <item x="222"/>
        <item x="562"/>
        <item x="649"/>
        <item x="580"/>
        <item x="363"/>
        <item x="43"/>
        <item x="495"/>
        <item x="101"/>
        <item x="238"/>
        <item x="499"/>
        <item x="318"/>
        <item x="644"/>
        <item x="51"/>
        <item x="481"/>
        <item x="220"/>
        <item x="275"/>
        <item x="143"/>
        <item x="334"/>
        <item x="7"/>
        <item x="274"/>
        <item x="335"/>
        <item x="204"/>
        <item x="453"/>
        <item x="443"/>
        <item x="129"/>
        <item x="60"/>
        <item x="396"/>
        <item x="13"/>
        <item x="391"/>
        <item x="269"/>
        <item x="154"/>
        <item x="221"/>
        <item x="245"/>
        <item x="445"/>
        <item x="450"/>
        <item x="446"/>
        <item x="414"/>
        <item x="20"/>
        <item x="341"/>
        <item x="536"/>
        <item x="431"/>
        <item x="22"/>
        <item x="160"/>
        <item x="4"/>
        <item x="159"/>
        <item x="356"/>
        <item x="325"/>
        <item x="288"/>
        <item x="614"/>
        <item x="121"/>
        <item x="225"/>
        <item x="67"/>
        <item x="606"/>
        <item x="576"/>
        <item x="113"/>
        <item x="437"/>
        <item x="401"/>
        <item x="114"/>
        <item x="402"/>
        <item x="205"/>
        <item x="327"/>
        <item x="432"/>
        <item x="449"/>
        <item x="239"/>
        <item x="236"/>
        <item x="19"/>
        <item x="524"/>
        <item x="563"/>
        <item x="261"/>
        <item x="600"/>
        <item x="228"/>
        <item x="257"/>
        <item x="478"/>
        <item x="142"/>
        <item x="590"/>
        <item x="55"/>
        <item x="628"/>
        <item x="133"/>
        <item x="231"/>
        <item x="408"/>
        <item x="397"/>
        <item x="483"/>
        <item x="509"/>
        <item x="280"/>
        <item x="652"/>
        <item x="124"/>
        <item x="549"/>
        <item x="176"/>
        <item x="435"/>
        <item x="469"/>
        <item x="359"/>
        <item x="564"/>
        <item x="433"/>
        <item x="399"/>
        <item x="125"/>
        <item x="328"/>
        <item x="35"/>
        <item x="90"/>
        <item x="38"/>
        <item x="289"/>
        <item x="271"/>
        <item x="5"/>
        <item x="556"/>
        <item x="58"/>
        <item x="202"/>
        <item x="256"/>
        <item x="530"/>
        <item x="572"/>
        <item x="426"/>
        <item x="157"/>
        <item x="645"/>
        <item x="309"/>
        <item x="625"/>
        <item x="200"/>
        <item x="444"/>
        <item x="0"/>
        <item x="575"/>
        <item x="621"/>
        <item x="283"/>
        <item x="150"/>
        <item x="519"/>
        <item x="419"/>
        <item x="161"/>
        <item x="479"/>
        <item x="322"/>
        <item x="529"/>
        <item x="352"/>
        <item x="471"/>
        <item x="468"/>
        <item x="34"/>
        <item x="405"/>
        <item x="406"/>
        <item x="118"/>
        <item x="89"/>
        <item x="355"/>
        <item x="350"/>
        <item x="104"/>
        <item x="36"/>
        <item x="349"/>
        <item x="268"/>
        <item x="33"/>
        <item x="284"/>
        <item x="87"/>
        <item x="28"/>
        <item x="607"/>
        <item x="393"/>
        <item x="486"/>
        <item x="522"/>
        <item x="494"/>
        <item x="306"/>
        <item x="358"/>
        <item x="394"/>
        <item x="165"/>
        <item x="307"/>
        <item x="485"/>
        <item x="569"/>
        <item x="21"/>
        <item x="281"/>
        <item x="570"/>
        <item x="571"/>
        <item x="123"/>
        <item x="382"/>
        <item x="84"/>
        <item x="470"/>
        <item x="368"/>
        <item x="279"/>
        <item x="285"/>
        <item x="53"/>
        <item x="44"/>
        <item x="554"/>
        <item x="217"/>
        <item x="505"/>
        <item x="45"/>
        <item x="75"/>
        <item x="177"/>
        <item x="641"/>
        <item x="523"/>
        <item x="314"/>
        <item x="459"/>
        <item x="332"/>
        <item x="9"/>
        <item x="116"/>
        <item x="137"/>
        <item x="646"/>
        <item x="436"/>
        <item x="194"/>
        <item x="109"/>
        <item x="638"/>
        <item x="37"/>
        <item x="541"/>
        <item x="93"/>
        <item x="407"/>
        <item x="216"/>
        <item x="357"/>
        <item x="224"/>
        <item x="293"/>
        <item x="496"/>
        <item x="201"/>
        <item x="185"/>
        <item x="388"/>
        <item x="255"/>
        <item x="105"/>
        <item x="608"/>
        <item x="504"/>
        <item x="42"/>
        <item x="613"/>
        <item x="106"/>
        <item x="23"/>
        <item x="111"/>
        <item x="577"/>
        <item x="26"/>
        <item x="139"/>
        <item x="184"/>
        <item x="310"/>
        <item x="259"/>
        <item x="514"/>
        <item x="158"/>
        <item x="30"/>
        <item x="319"/>
        <item x="65"/>
        <item x="41"/>
        <item x="605"/>
        <item x="410"/>
        <item x="500"/>
        <item x="612"/>
        <item x="642"/>
        <item x="324"/>
        <item x="383"/>
        <item x="630"/>
        <item x="451"/>
        <item x="83"/>
        <item x="455"/>
        <item x="86"/>
        <item x="540"/>
        <item x="243"/>
        <item x="69"/>
        <item x="91"/>
        <item x="186"/>
        <item x="342"/>
        <item x="343"/>
        <item x="301"/>
        <item x="24"/>
        <item x="596"/>
        <item x="618"/>
        <item x="88"/>
        <item x="253"/>
        <item x="442"/>
        <item x="128"/>
        <item x="244"/>
        <item x="52"/>
        <item x="498"/>
        <item x="637"/>
        <item x="560"/>
        <item x="430"/>
        <item x="510"/>
        <item x="639"/>
        <item x="507"/>
        <item x="517"/>
        <item x="552"/>
        <item x="266"/>
        <item x="594"/>
        <item x="251"/>
        <item x="591"/>
        <item x="127"/>
        <item x="148"/>
        <item x="278"/>
        <item x="518"/>
        <item x="81"/>
        <item x="534"/>
        <item x="300"/>
        <item x="617"/>
        <item x="47"/>
        <item x="535"/>
        <item x="317"/>
        <item x="8"/>
        <item x="103"/>
        <item x="6"/>
        <item x="650"/>
        <item x="595"/>
        <item x="574"/>
        <item x="170"/>
        <item x="151"/>
        <item x="71"/>
        <item x="610"/>
        <item x="72"/>
        <item x="386"/>
        <item x="543"/>
        <item x="112"/>
        <item x="246"/>
        <item x="175"/>
        <item x="92"/>
        <item x="15"/>
        <item x="214"/>
        <item x="208"/>
        <item x="329"/>
        <item x="48"/>
        <item x="545"/>
        <item x="232"/>
        <item x="50"/>
        <item x="312"/>
        <item x="235"/>
        <item x="99"/>
        <item x="258"/>
        <item x="130"/>
        <item x="276"/>
        <item x="403"/>
        <item x="98"/>
        <item x="267"/>
        <item x="460"/>
        <item x="487"/>
        <item x="172"/>
        <item x="135"/>
        <item x="187"/>
        <item x="140"/>
        <item x="241"/>
        <item x="557"/>
        <item x="134"/>
        <item x="94"/>
        <item x="183"/>
        <item x="423"/>
        <item x="528"/>
        <item x="392"/>
        <item x="144"/>
        <item x="345"/>
        <item x="82"/>
        <item x="648"/>
        <item x="551"/>
        <item x="629"/>
        <item x="298"/>
        <item x="351"/>
        <item x="555"/>
        <item x="331"/>
        <item x="74"/>
        <item x="353"/>
        <item x="191"/>
        <item x="506"/>
        <item x="40"/>
        <item x="511"/>
        <item x="164"/>
        <item x="182"/>
        <item x="315"/>
        <item x="566"/>
        <item x="395"/>
        <item x="302"/>
        <item x="348"/>
        <item x="252"/>
        <item x="484"/>
        <item x="313"/>
        <item x="651"/>
        <item x="203"/>
        <item x="54"/>
        <item x="197"/>
        <item x="108"/>
        <item x="404"/>
        <item x="263"/>
        <item x="230"/>
        <item x="247"/>
        <item x="513"/>
        <item x="14"/>
        <item x="16"/>
        <item x="420"/>
        <item x="548"/>
        <item x="584"/>
        <item x="573"/>
        <item x="585"/>
        <item x="73"/>
        <item x="196"/>
        <item x="76"/>
        <item x="85"/>
        <item x="120"/>
        <item x="369"/>
        <item x="601"/>
        <item x="77"/>
        <item x="166"/>
        <item x="156"/>
        <item x="254"/>
        <item x="292"/>
        <item x="531"/>
        <item x="126"/>
        <item x="635"/>
        <item x="441"/>
        <item x="417"/>
        <item x="542"/>
        <item x="330"/>
        <item x="440"/>
        <item x="179"/>
        <item x="207"/>
        <item x="264"/>
        <item x="488"/>
        <item x="448"/>
        <item x="620"/>
        <item x="429"/>
        <item x="96"/>
        <item x="27"/>
        <item x="290"/>
        <item x="294"/>
        <item x="2"/>
        <item x="538"/>
        <item x="66"/>
        <item x="78"/>
        <item x="141"/>
        <item x="424"/>
        <item x="100"/>
        <item x="497"/>
        <item x="262"/>
        <item x="636"/>
        <item x="211"/>
        <item x="454"/>
        <item x="39"/>
        <item x="147"/>
        <item x="149"/>
        <item x="457"/>
        <item x="70"/>
        <item x="299"/>
        <item x="1"/>
        <item x="138"/>
        <item x="326"/>
        <item x="371"/>
        <item x="461"/>
        <item x="375"/>
        <item x="376"/>
        <item x="567"/>
        <item x="115"/>
        <item x="233"/>
        <item x="379"/>
        <item x="242"/>
        <item x="370"/>
        <item x="632"/>
        <item x="57"/>
        <item x="181"/>
        <item x="305"/>
        <item x="122"/>
        <item x="223"/>
        <item x="398"/>
        <item x="210"/>
        <item x="527"/>
        <item x="512"/>
        <item x="17"/>
        <item x="508"/>
        <item x="373"/>
        <item x="131"/>
        <item x="492"/>
        <item x="428"/>
        <item x="11"/>
        <item x="31"/>
        <item x="152"/>
        <item x="226"/>
        <item x="491"/>
        <item x="568"/>
        <item x="218"/>
        <item x="46"/>
        <item x="390"/>
        <item x="277"/>
        <item x="32"/>
        <item x="234"/>
        <item x="249"/>
        <item x="516"/>
        <item x="56"/>
        <item x="520"/>
        <item x="526"/>
        <item x="18"/>
        <item x="212"/>
        <item x="145"/>
        <item x="400"/>
        <item x="427"/>
        <item x="162"/>
        <item x="413"/>
        <item x="533"/>
        <item x="344"/>
        <item x="474"/>
        <item x="466"/>
        <item x="493"/>
        <item x="456"/>
        <item x="367"/>
        <item x="365"/>
        <item x="480"/>
        <item x="616"/>
        <item x="438"/>
        <item x="260"/>
        <item x="609"/>
        <item x="627"/>
        <item x="49"/>
        <item x="209"/>
        <item x="163"/>
        <item x="296"/>
        <item x="361"/>
        <item x="169"/>
        <item x="117"/>
        <item x="411"/>
        <item x="190"/>
        <item x="304"/>
        <item x="282"/>
        <item x="619"/>
        <item x="193"/>
        <item x="29"/>
        <item x="515"/>
        <item x="467"/>
        <item x="270"/>
        <item x="611"/>
        <item x="248"/>
        <item x="362"/>
        <item x="107"/>
        <item x="558"/>
        <item x="291"/>
        <item x="378"/>
        <item x="550"/>
        <item x="68"/>
        <item x="366"/>
        <item x="178"/>
        <item x="180"/>
        <item x="465"/>
        <item x="389"/>
        <item x="297"/>
        <item x="347"/>
        <item x="434"/>
        <item x="521"/>
        <item x="79"/>
        <item x="59"/>
        <item x="598"/>
        <item x="346"/>
        <item x="10"/>
        <item x="647"/>
        <item x="168"/>
        <item x="171"/>
        <item x="384"/>
        <item x="12"/>
        <item x="63"/>
        <item x="565"/>
        <item x="439"/>
        <item x="167"/>
        <item x="333"/>
        <item x="237"/>
        <item x="615"/>
        <item x="476"/>
        <item x="631"/>
        <item x="458"/>
        <item x="192"/>
        <item x="532"/>
        <item x="633"/>
        <item x="462"/>
        <item x="316"/>
        <item x="602"/>
        <item x="323"/>
        <item x="597"/>
        <item x="501"/>
        <item x="603"/>
        <item x="503"/>
        <item x="578"/>
        <item x="502"/>
        <item x="475"/>
        <item x="206"/>
        <item x="583"/>
        <item x="452"/>
        <item x="593"/>
        <item x="385"/>
        <item x="525"/>
        <item x="188"/>
        <item x="189"/>
        <item x="472"/>
        <item x="337"/>
        <item x="546"/>
        <item x="338"/>
        <item x="311"/>
        <item x="622"/>
        <item x="61"/>
        <item x="490"/>
        <item x="354"/>
        <item x="477"/>
        <item x="229"/>
        <item x="387"/>
        <item x="25"/>
        <item x="409"/>
        <item x="547"/>
        <item x="213"/>
        <item x="537"/>
        <item x="374"/>
        <item x="412"/>
        <item x="653"/>
        <item t="default"/>
      </items>
    </pivotField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6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Viewership.Time" fld="14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E7480-7CA9-45C3-8580-CBE6FACF6CF0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658" firstHeaderRow="1" firstDataRow="2" firstDataCol="1"/>
  <pivotFields count="20"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55">
        <item x="422"/>
        <item x="198"/>
        <item x="303"/>
        <item x="199"/>
        <item x="80"/>
        <item x="482"/>
        <item x="643"/>
        <item x="553"/>
        <item x="418"/>
        <item x="447"/>
        <item x="626"/>
        <item x="416"/>
        <item x="146"/>
        <item x="320"/>
        <item x="539"/>
        <item x="415"/>
        <item x="265"/>
        <item x="634"/>
        <item x="463"/>
        <item x="587"/>
        <item x="250"/>
        <item x="579"/>
        <item x="421"/>
        <item x="604"/>
        <item x="425"/>
        <item x="586"/>
        <item x="97"/>
        <item x="381"/>
        <item x="308"/>
        <item x="64"/>
        <item x="372"/>
        <item x="489"/>
        <item x="380"/>
        <item x="110"/>
        <item x="195"/>
        <item x="227"/>
        <item x="589"/>
        <item x="155"/>
        <item x="215"/>
        <item x="588"/>
        <item x="240"/>
        <item x="95"/>
        <item x="599"/>
        <item x="473"/>
        <item x="321"/>
        <item x="640"/>
        <item x="559"/>
        <item x="102"/>
        <item x="360"/>
        <item x="295"/>
        <item x="464"/>
        <item x="339"/>
        <item x="273"/>
        <item x="272"/>
        <item x="119"/>
        <item x="173"/>
        <item x="377"/>
        <item x="153"/>
        <item x="174"/>
        <item x="364"/>
        <item x="286"/>
        <item x="561"/>
        <item x="336"/>
        <item x="136"/>
        <item x="132"/>
        <item x="3"/>
        <item x="287"/>
        <item x="592"/>
        <item x="219"/>
        <item x="340"/>
        <item x="62"/>
        <item x="623"/>
        <item x="624"/>
        <item x="582"/>
        <item x="581"/>
        <item x="544"/>
        <item x="222"/>
        <item x="562"/>
        <item x="649"/>
        <item x="580"/>
        <item x="363"/>
        <item x="43"/>
        <item x="495"/>
        <item x="101"/>
        <item x="238"/>
        <item x="499"/>
        <item x="318"/>
        <item x="644"/>
        <item x="51"/>
        <item x="481"/>
        <item x="220"/>
        <item x="275"/>
        <item x="143"/>
        <item x="334"/>
        <item x="7"/>
        <item x="274"/>
        <item x="335"/>
        <item x="204"/>
        <item x="453"/>
        <item x="443"/>
        <item x="129"/>
        <item x="60"/>
        <item x="396"/>
        <item x="13"/>
        <item x="391"/>
        <item x="269"/>
        <item x="154"/>
        <item x="221"/>
        <item x="245"/>
        <item x="445"/>
        <item x="450"/>
        <item x="446"/>
        <item x="414"/>
        <item x="20"/>
        <item x="341"/>
        <item x="536"/>
        <item x="431"/>
        <item x="22"/>
        <item x="160"/>
        <item x="4"/>
        <item x="159"/>
        <item x="356"/>
        <item x="325"/>
        <item x="288"/>
        <item x="614"/>
        <item x="121"/>
        <item x="225"/>
        <item x="67"/>
        <item x="606"/>
        <item x="576"/>
        <item x="113"/>
        <item x="437"/>
        <item x="401"/>
        <item x="114"/>
        <item x="402"/>
        <item x="205"/>
        <item x="327"/>
        <item x="432"/>
        <item x="449"/>
        <item x="239"/>
        <item x="236"/>
        <item x="19"/>
        <item x="524"/>
        <item x="563"/>
        <item x="261"/>
        <item x="600"/>
        <item x="228"/>
        <item x="257"/>
        <item x="478"/>
        <item x="142"/>
        <item x="590"/>
        <item x="55"/>
        <item x="628"/>
        <item x="133"/>
        <item x="231"/>
        <item x="408"/>
        <item x="397"/>
        <item x="483"/>
        <item x="509"/>
        <item x="280"/>
        <item x="652"/>
        <item x="124"/>
        <item x="549"/>
        <item x="176"/>
        <item x="435"/>
        <item x="469"/>
        <item x="359"/>
        <item x="564"/>
        <item x="433"/>
        <item x="399"/>
        <item x="125"/>
        <item x="328"/>
        <item x="35"/>
        <item x="90"/>
        <item x="38"/>
        <item x="289"/>
        <item x="271"/>
        <item x="5"/>
        <item x="556"/>
        <item x="58"/>
        <item x="202"/>
        <item x="256"/>
        <item x="530"/>
        <item x="572"/>
        <item x="426"/>
        <item x="157"/>
        <item x="645"/>
        <item x="309"/>
        <item x="625"/>
        <item x="200"/>
        <item x="444"/>
        <item x="0"/>
        <item x="575"/>
        <item x="621"/>
        <item x="283"/>
        <item x="150"/>
        <item x="519"/>
        <item x="419"/>
        <item x="161"/>
        <item x="479"/>
        <item x="322"/>
        <item x="529"/>
        <item x="352"/>
        <item x="471"/>
        <item x="468"/>
        <item x="34"/>
        <item x="405"/>
        <item x="406"/>
        <item x="118"/>
        <item x="89"/>
        <item x="355"/>
        <item x="350"/>
        <item x="104"/>
        <item x="36"/>
        <item x="349"/>
        <item x="268"/>
        <item x="33"/>
        <item x="284"/>
        <item x="87"/>
        <item x="28"/>
        <item x="607"/>
        <item x="393"/>
        <item x="486"/>
        <item x="522"/>
        <item x="494"/>
        <item x="306"/>
        <item x="358"/>
        <item x="394"/>
        <item x="165"/>
        <item x="307"/>
        <item x="485"/>
        <item x="569"/>
        <item x="21"/>
        <item x="281"/>
        <item x="570"/>
        <item x="571"/>
        <item x="123"/>
        <item x="382"/>
        <item x="84"/>
        <item x="470"/>
        <item x="368"/>
        <item x="279"/>
        <item x="285"/>
        <item x="53"/>
        <item x="44"/>
        <item x="554"/>
        <item x="217"/>
        <item x="505"/>
        <item x="45"/>
        <item x="75"/>
        <item x="177"/>
        <item x="641"/>
        <item x="523"/>
        <item x="314"/>
        <item x="459"/>
        <item x="332"/>
        <item x="9"/>
        <item x="116"/>
        <item x="137"/>
        <item x="646"/>
        <item x="436"/>
        <item x="194"/>
        <item x="109"/>
        <item x="638"/>
        <item x="37"/>
        <item x="541"/>
        <item x="93"/>
        <item x="407"/>
        <item x="216"/>
        <item x="357"/>
        <item x="224"/>
        <item x="293"/>
        <item x="496"/>
        <item x="201"/>
        <item x="185"/>
        <item x="388"/>
        <item x="255"/>
        <item x="105"/>
        <item x="608"/>
        <item x="504"/>
        <item x="42"/>
        <item x="613"/>
        <item x="106"/>
        <item x="23"/>
        <item x="111"/>
        <item x="577"/>
        <item x="26"/>
        <item x="139"/>
        <item x="184"/>
        <item x="310"/>
        <item x="259"/>
        <item x="514"/>
        <item x="158"/>
        <item x="30"/>
        <item x="319"/>
        <item x="65"/>
        <item x="41"/>
        <item x="605"/>
        <item x="410"/>
        <item x="500"/>
        <item x="612"/>
        <item x="642"/>
        <item x="324"/>
        <item x="383"/>
        <item x="630"/>
        <item x="451"/>
        <item x="83"/>
        <item x="455"/>
        <item x="86"/>
        <item x="540"/>
        <item x="243"/>
        <item x="69"/>
        <item x="91"/>
        <item x="186"/>
        <item x="342"/>
        <item x="343"/>
        <item x="301"/>
        <item x="24"/>
        <item x="596"/>
        <item x="618"/>
        <item x="88"/>
        <item x="253"/>
        <item x="442"/>
        <item x="128"/>
        <item x="244"/>
        <item x="52"/>
        <item x="498"/>
        <item x="637"/>
        <item x="560"/>
        <item x="430"/>
        <item x="510"/>
        <item x="639"/>
        <item x="507"/>
        <item x="517"/>
        <item x="552"/>
        <item x="266"/>
        <item x="594"/>
        <item x="251"/>
        <item x="591"/>
        <item x="127"/>
        <item x="148"/>
        <item x="278"/>
        <item x="518"/>
        <item x="81"/>
        <item x="534"/>
        <item x="300"/>
        <item x="617"/>
        <item x="47"/>
        <item x="535"/>
        <item x="317"/>
        <item x="8"/>
        <item x="103"/>
        <item x="6"/>
        <item x="650"/>
        <item x="595"/>
        <item x="574"/>
        <item x="170"/>
        <item x="151"/>
        <item x="71"/>
        <item x="610"/>
        <item x="72"/>
        <item x="386"/>
        <item x="543"/>
        <item x="112"/>
        <item x="246"/>
        <item x="175"/>
        <item x="92"/>
        <item x="15"/>
        <item x="214"/>
        <item x="208"/>
        <item x="329"/>
        <item x="48"/>
        <item x="545"/>
        <item x="232"/>
        <item x="50"/>
        <item x="312"/>
        <item x="235"/>
        <item x="99"/>
        <item x="258"/>
        <item x="130"/>
        <item x="276"/>
        <item x="403"/>
        <item x="98"/>
        <item x="267"/>
        <item x="460"/>
        <item x="487"/>
        <item x="172"/>
        <item x="135"/>
        <item x="187"/>
        <item x="140"/>
        <item x="241"/>
        <item x="557"/>
        <item x="134"/>
        <item x="94"/>
        <item x="183"/>
        <item x="423"/>
        <item x="528"/>
        <item x="392"/>
        <item x="144"/>
        <item x="345"/>
        <item x="82"/>
        <item x="648"/>
        <item x="551"/>
        <item x="629"/>
        <item x="298"/>
        <item x="351"/>
        <item x="555"/>
        <item x="331"/>
        <item x="74"/>
        <item x="353"/>
        <item x="191"/>
        <item x="506"/>
        <item x="40"/>
        <item x="511"/>
        <item x="164"/>
        <item x="182"/>
        <item x="315"/>
        <item x="566"/>
        <item x="395"/>
        <item x="302"/>
        <item x="348"/>
        <item x="252"/>
        <item x="484"/>
        <item x="313"/>
        <item x="651"/>
        <item x="203"/>
        <item x="54"/>
        <item x="197"/>
        <item x="108"/>
        <item x="404"/>
        <item x="263"/>
        <item x="230"/>
        <item x="247"/>
        <item x="513"/>
        <item x="14"/>
        <item x="16"/>
        <item x="420"/>
        <item x="548"/>
        <item x="584"/>
        <item x="573"/>
        <item x="585"/>
        <item x="73"/>
        <item x="196"/>
        <item x="76"/>
        <item x="85"/>
        <item x="120"/>
        <item x="369"/>
        <item x="601"/>
        <item x="77"/>
        <item x="166"/>
        <item x="156"/>
        <item x="254"/>
        <item x="292"/>
        <item x="531"/>
        <item x="126"/>
        <item x="635"/>
        <item x="441"/>
        <item x="417"/>
        <item x="542"/>
        <item x="330"/>
        <item x="440"/>
        <item x="179"/>
        <item x="207"/>
        <item x="264"/>
        <item x="488"/>
        <item x="448"/>
        <item x="620"/>
        <item x="429"/>
        <item x="96"/>
        <item x="27"/>
        <item x="290"/>
        <item x="294"/>
        <item x="2"/>
        <item x="538"/>
        <item x="66"/>
        <item x="78"/>
        <item x="141"/>
        <item x="424"/>
        <item x="100"/>
        <item x="497"/>
        <item x="262"/>
        <item x="636"/>
        <item x="211"/>
        <item x="454"/>
        <item x="39"/>
        <item x="147"/>
        <item x="149"/>
        <item x="457"/>
        <item x="70"/>
        <item x="299"/>
        <item x="1"/>
        <item x="138"/>
        <item x="326"/>
        <item x="371"/>
        <item x="461"/>
        <item x="375"/>
        <item x="376"/>
        <item x="567"/>
        <item x="115"/>
        <item x="233"/>
        <item x="379"/>
        <item x="242"/>
        <item x="370"/>
        <item x="632"/>
        <item x="57"/>
        <item x="181"/>
        <item x="305"/>
        <item x="122"/>
        <item x="223"/>
        <item x="398"/>
        <item x="210"/>
        <item x="527"/>
        <item x="512"/>
        <item x="17"/>
        <item x="508"/>
        <item x="373"/>
        <item x="131"/>
        <item x="492"/>
        <item x="428"/>
        <item x="11"/>
        <item x="31"/>
        <item x="152"/>
        <item x="226"/>
        <item x="491"/>
        <item x="568"/>
        <item x="218"/>
        <item x="46"/>
        <item x="390"/>
        <item x="277"/>
        <item x="32"/>
        <item x="234"/>
        <item x="249"/>
        <item x="516"/>
        <item x="56"/>
        <item x="520"/>
        <item x="526"/>
        <item x="18"/>
        <item x="212"/>
        <item x="145"/>
        <item x="400"/>
        <item x="427"/>
        <item x="162"/>
        <item x="413"/>
        <item x="533"/>
        <item x="344"/>
        <item x="474"/>
        <item x="466"/>
        <item x="493"/>
        <item x="456"/>
        <item x="367"/>
        <item x="365"/>
        <item x="480"/>
        <item x="616"/>
        <item x="438"/>
        <item x="260"/>
        <item x="609"/>
        <item x="627"/>
        <item x="49"/>
        <item x="209"/>
        <item x="163"/>
        <item x="296"/>
        <item x="361"/>
        <item x="169"/>
        <item x="117"/>
        <item x="411"/>
        <item x="190"/>
        <item x="304"/>
        <item x="282"/>
        <item x="619"/>
        <item x="193"/>
        <item x="29"/>
        <item x="515"/>
        <item x="467"/>
        <item x="270"/>
        <item x="611"/>
        <item x="248"/>
        <item x="362"/>
        <item x="107"/>
        <item x="558"/>
        <item x="291"/>
        <item x="378"/>
        <item x="550"/>
        <item x="68"/>
        <item x="366"/>
        <item x="178"/>
        <item x="180"/>
        <item x="465"/>
        <item x="389"/>
        <item x="297"/>
        <item x="347"/>
        <item x="434"/>
        <item x="521"/>
        <item x="79"/>
        <item x="59"/>
        <item x="598"/>
        <item x="346"/>
        <item x="10"/>
        <item x="647"/>
        <item x="168"/>
        <item x="171"/>
        <item x="384"/>
        <item x="12"/>
        <item x="63"/>
        <item x="565"/>
        <item x="439"/>
        <item x="167"/>
        <item x="333"/>
        <item x="237"/>
        <item x="615"/>
        <item x="476"/>
        <item x="631"/>
        <item x="458"/>
        <item x="192"/>
        <item x="532"/>
        <item x="633"/>
        <item x="462"/>
        <item x="316"/>
        <item x="602"/>
        <item x="323"/>
        <item x="597"/>
        <item x="501"/>
        <item x="603"/>
        <item x="503"/>
        <item x="578"/>
        <item x="502"/>
        <item x="475"/>
        <item x="206"/>
        <item x="583"/>
        <item x="452"/>
        <item x="593"/>
        <item x="385"/>
        <item x="525"/>
        <item x="188"/>
        <item x="189"/>
        <item x="472"/>
        <item x="337"/>
        <item x="546"/>
        <item x="338"/>
        <item x="311"/>
        <item x="622"/>
        <item x="61"/>
        <item x="490"/>
        <item x="354"/>
        <item x="477"/>
        <item x="229"/>
        <item x="387"/>
        <item x="25"/>
        <item x="409"/>
        <item x="547"/>
        <item x="213"/>
        <item x="537"/>
        <item x="374"/>
        <item x="412"/>
        <item h="1" x="653"/>
        <item t="default"/>
      </items>
    </pivotField>
    <pivotField showAll="0">
      <items count="523">
        <item x="10"/>
        <item x="188"/>
        <item x="259"/>
        <item x="120"/>
        <item x="418"/>
        <item x="196"/>
        <item x="112"/>
        <item x="480"/>
        <item x="217"/>
        <item x="512"/>
        <item x="25"/>
        <item x="354"/>
        <item x="214"/>
        <item x="38"/>
        <item x="154"/>
        <item x="2"/>
        <item x="73"/>
        <item x="385"/>
        <item x="93"/>
        <item x="24"/>
        <item x="42"/>
        <item x="27"/>
        <item x="113"/>
        <item x="239"/>
        <item x="215"/>
        <item x="213"/>
        <item x="70"/>
        <item x="448"/>
        <item x="137"/>
        <item x="184"/>
        <item x="85"/>
        <item x="115"/>
        <item x="108"/>
        <item x="12"/>
        <item x="406"/>
        <item x="109"/>
        <item x="11"/>
        <item x="89"/>
        <item x="322"/>
        <item x="37"/>
        <item x="229"/>
        <item x="107"/>
        <item x="118"/>
        <item x="236"/>
        <item x="75"/>
        <item x="50"/>
        <item x="488"/>
        <item x="515"/>
        <item x="401"/>
        <item x="198"/>
        <item x="355"/>
        <item x="138"/>
        <item x="382"/>
        <item x="101"/>
        <item x="129"/>
        <item x="57"/>
        <item x="340"/>
        <item x="324"/>
        <item x="216"/>
        <item x="394"/>
        <item x="26"/>
        <item x="14"/>
        <item x="516"/>
        <item x="8"/>
        <item x="330"/>
        <item x="69"/>
        <item x="266"/>
        <item x="363"/>
        <item x="143"/>
        <item x="193"/>
        <item x="312"/>
        <item x="170"/>
        <item x="29"/>
        <item x="517"/>
        <item x="90"/>
        <item x="506"/>
        <item x="94"/>
        <item x="374"/>
        <item x="403"/>
        <item x="64"/>
        <item x="52"/>
        <item x="284"/>
        <item x="20"/>
        <item x="419"/>
        <item x="392"/>
        <item x="91"/>
        <item x="455"/>
        <item x="331"/>
        <item x="110"/>
        <item x="269"/>
        <item x="16"/>
        <item x="4"/>
        <item x="7"/>
        <item x="103"/>
        <item x="270"/>
        <item x="271"/>
        <item x="100"/>
        <item x="167"/>
        <item x="237"/>
        <item x="299"/>
        <item x="168"/>
        <item x="95"/>
        <item x="301"/>
        <item x="153"/>
        <item x="244"/>
        <item x="33"/>
        <item x="185"/>
        <item x="487"/>
        <item x="66"/>
        <item x="405"/>
        <item x="1"/>
        <item x="255"/>
        <item x="298"/>
        <item x="44"/>
        <item x="420"/>
        <item x="65"/>
        <item x="267"/>
        <item x="339"/>
        <item x="9"/>
        <item x="41"/>
        <item x="174"/>
        <item x="391"/>
        <item x="163"/>
        <item x="19"/>
        <item x="151"/>
        <item x="311"/>
        <item x="314"/>
        <item x="353"/>
        <item x="102"/>
        <item x="310"/>
        <item x="169"/>
        <item x="92"/>
        <item x="157"/>
        <item x="404"/>
        <item x="145"/>
        <item x="490"/>
        <item x="152"/>
        <item x="192"/>
        <item x="159"/>
        <item x="234"/>
        <item x="484"/>
        <item x="205"/>
        <item x="285"/>
        <item x="135"/>
        <item x="513"/>
        <item x="15"/>
        <item x="497"/>
        <item x="251"/>
        <item x="175"/>
        <item x="486"/>
        <item x="477"/>
        <item x="194"/>
        <item x="365"/>
        <item x="53"/>
        <item x="54"/>
        <item x="350"/>
        <item x="68"/>
        <item x="268"/>
        <item x="278"/>
        <item x="58"/>
        <item x="410"/>
        <item x="202"/>
        <item x="117"/>
        <item x="111"/>
        <item x="491"/>
        <item x="105"/>
        <item x="481"/>
        <item x="435"/>
        <item x="519"/>
        <item x="63"/>
        <item x="345"/>
        <item x="373"/>
        <item x="347"/>
        <item x="296"/>
        <item x="224"/>
        <item x="78"/>
        <item x="190"/>
        <item x="206"/>
        <item x="207"/>
        <item x="40"/>
        <item x="98"/>
        <item x="489"/>
        <item x="293"/>
        <item x="329"/>
        <item x="294"/>
        <item x="209"/>
        <item x="21"/>
        <item x="478"/>
        <item x="453"/>
        <item x="362"/>
        <item x="458"/>
        <item x="313"/>
        <item x="173"/>
        <item x="200"/>
        <item x="130"/>
        <item x="431"/>
        <item x="61"/>
        <item x="106"/>
        <item x="252"/>
        <item x="247"/>
        <item x="402"/>
        <item x="36"/>
        <item x="122"/>
        <item x="443"/>
        <item x="131"/>
        <item x="449"/>
        <item x="411"/>
        <item x="35"/>
        <item x="210"/>
        <item x="333"/>
        <item x="302"/>
        <item x="171"/>
        <item x="60"/>
        <item x="134"/>
        <item x="327"/>
        <item x="356"/>
        <item x="116"/>
        <item x="6"/>
        <item x="104"/>
        <item x="277"/>
        <item x="461"/>
        <item x="289"/>
        <item x="315"/>
        <item x="479"/>
        <item x="34"/>
        <item x="316"/>
        <item x="223"/>
        <item x="472"/>
        <item x="442"/>
        <item x="212"/>
        <item x="179"/>
        <item x="23"/>
        <item x="250"/>
        <item x="156"/>
        <item x="43"/>
        <item x="197"/>
        <item x="56"/>
        <item x="62"/>
        <item x="348"/>
        <item x="309"/>
        <item x="160"/>
        <item x="161"/>
        <item x="80"/>
        <item x="166"/>
        <item x="495"/>
        <item x="349"/>
        <item x="211"/>
        <item x="393"/>
        <item x="352"/>
        <item x="300"/>
        <item x="383"/>
        <item x="28"/>
        <item x="413"/>
        <item x="121"/>
        <item x="49"/>
        <item x="201"/>
        <item x="263"/>
        <item x="440"/>
        <item x="77"/>
        <item x="372"/>
        <item x="370"/>
        <item x="178"/>
        <item x="76"/>
        <item x="233"/>
        <item x="297"/>
        <item x="176"/>
        <item x="86"/>
        <item x="380"/>
        <item x="32"/>
        <item x="378"/>
        <item x="164"/>
        <item x="47"/>
        <item x="388"/>
        <item x="276"/>
        <item x="425"/>
        <item x="454"/>
        <item x="55"/>
        <item x="222"/>
        <item x="189"/>
        <item x="437"/>
        <item x="422"/>
        <item x="384"/>
        <item x="407"/>
        <item x="279"/>
        <item x="463"/>
        <item x="307"/>
        <item x="133"/>
        <item x="249"/>
        <item x="218"/>
        <item x="439"/>
        <item x="387"/>
        <item x="395"/>
        <item x="367"/>
        <item x="45"/>
        <item x="460"/>
        <item x="261"/>
        <item x="466"/>
        <item x="500"/>
        <item x="318"/>
        <item x="257"/>
        <item x="371"/>
        <item x="155"/>
        <item x="447"/>
        <item x="445"/>
        <item x="240"/>
        <item x="358"/>
        <item x="246"/>
        <item x="366"/>
        <item x="280"/>
        <item x="361"/>
        <item x="465"/>
        <item x="288"/>
        <item x="158"/>
        <item x="125"/>
        <item x="292"/>
        <item x="470"/>
        <item x="242"/>
        <item x="149"/>
        <item x="150"/>
        <item x="264"/>
        <item x="426"/>
        <item x="126"/>
        <item x="74"/>
        <item x="444"/>
        <item x="231"/>
        <item x="369"/>
        <item x="417"/>
        <item x="228"/>
        <item x="180"/>
        <item x="306"/>
        <item x="364"/>
        <item x="317"/>
        <item x="430"/>
        <item x="389"/>
        <item x="83"/>
        <item x="428"/>
        <item x="139"/>
        <item x="172"/>
        <item x="187"/>
        <item x="0"/>
        <item x="344"/>
        <item x="256"/>
        <item x="390"/>
        <item x="398"/>
        <item x="181"/>
        <item x="325"/>
        <item x="397"/>
        <item x="368"/>
        <item x="238"/>
        <item x="5"/>
        <item x="235"/>
        <item x="114"/>
        <item x="195"/>
        <item x="183"/>
        <item x="346"/>
        <item x="219"/>
        <item x="505"/>
        <item x="186"/>
        <item x="59"/>
        <item x="254"/>
        <item x="494"/>
        <item x="81"/>
        <item x="265"/>
        <item x="342"/>
        <item x="48"/>
        <item x="17"/>
        <item x="498"/>
        <item x="504"/>
        <item x="492"/>
        <item x="82"/>
        <item x="203"/>
        <item x="248"/>
        <item x="379"/>
        <item x="245"/>
        <item x="51"/>
        <item x="408"/>
        <item x="220"/>
        <item x="400"/>
        <item x="97"/>
        <item x="128"/>
        <item x="291"/>
        <item x="452"/>
        <item x="275"/>
        <item x="262"/>
        <item x="320"/>
        <item x="283"/>
        <item x="328"/>
        <item x="474"/>
        <item x="415"/>
        <item x="351"/>
        <item x="321"/>
        <item x="308"/>
        <item x="462"/>
        <item x="304"/>
        <item x="99"/>
        <item x="493"/>
        <item x="381"/>
        <item x="502"/>
        <item x="335"/>
        <item x="3"/>
        <item x="127"/>
        <item x="485"/>
        <item x="258"/>
        <item x="274"/>
        <item x="334"/>
        <item x="13"/>
        <item x="147"/>
        <item x="357"/>
        <item x="337"/>
        <item x="451"/>
        <item x="165"/>
        <item x="136"/>
        <item x="434"/>
        <item x="424"/>
        <item x="399"/>
        <item x="177"/>
        <item x="332"/>
        <item x="482"/>
        <item x="507"/>
        <item x="290"/>
        <item x="446"/>
        <item x="46"/>
        <item x="22"/>
        <item x="499"/>
        <item x="416"/>
        <item x="441"/>
        <item x="338"/>
        <item x="208"/>
        <item x="31"/>
        <item x="319"/>
        <item x="39"/>
        <item x="359"/>
        <item x="503"/>
        <item x="432"/>
        <item x="483"/>
        <item x="260"/>
        <item x="132"/>
        <item x="282"/>
        <item x="71"/>
        <item x="509"/>
        <item x="323"/>
        <item x="518"/>
        <item x="124"/>
        <item x="182"/>
        <item x="341"/>
        <item x="414"/>
        <item x="303"/>
        <item x="67"/>
        <item x="225"/>
        <item x="471"/>
        <item x="243"/>
        <item x="148"/>
        <item x="96"/>
        <item x="468"/>
        <item x="412"/>
        <item x="450"/>
        <item x="232"/>
        <item x="501"/>
        <item x="253"/>
        <item x="286"/>
        <item x="386"/>
        <item x="230"/>
        <item x="457"/>
        <item x="427"/>
        <item x="496"/>
        <item x="464"/>
        <item x="140"/>
        <item x="326"/>
        <item x="396"/>
        <item x="469"/>
        <item x="409"/>
        <item x="142"/>
        <item x="199"/>
        <item x="476"/>
        <item x="227"/>
        <item x="226"/>
        <item x="204"/>
        <item x="510"/>
        <item x="241"/>
        <item x="514"/>
        <item x="429"/>
        <item x="287"/>
        <item x="272"/>
        <item x="295"/>
        <item x="377"/>
        <item x="375"/>
        <item x="88"/>
        <item x="423"/>
        <item x="123"/>
        <item x="456"/>
        <item x="360"/>
        <item x="421"/>
        <item x="146"/>
        <item x="520"/>
        <item x="467"/>
        <item x="475"/>
        <item x="221"/>
        <item x="508"/>
        <item x="343"/>
        <item x="459"/>
        <item x="79"/>
        <item x="473"/>
        <item x="305"/>
        <item x="141"/>
        <item x="87"/>
        <item x="84"/>
        <item x="433"/>
        <item x="119"/>
        <item x="18"/>
        <item x="191"/>
        <item x="30"/>
        <item x="436"/>
        <item x="72"/>
        <item x="144"/>
        <item x="162"/>
        <item x="273"/>
        <item x="281"/>
        <item x="511"/>
        <item x="438"/>
        <item x="376"/>
        <item x="336"/>
        <item x="521"/>
        <item t="default"/>
      </items>
    </pivotField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dataField="1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14"/>
  </rowFields>
  <rowItems count="6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Hours (Viewership.Time)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5E77E-4062-463A-939A-A14BAE8A7041}" name="PivotTable8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H23" firstHeaderRow="1" firstDataRow="2" firstDataCol="1"/>
  <pivotFields count="20">
    <pivotField showAll="0"/>
    <pivotField showAll="0"/>
    <pivotField showAll="0"/>
    <pivotField showAll="0"/>
    <pivotField showAll="0"/>
    <pivotField axis="axisCol" showAll="0">
      <items count="8">
        <item x="2"/>
        <item x="4"/>
        <item x="5"/>
        <item x="0"/>
        <item x="3"/>
        <item x="1"/>
        <item h="1" x="6"/>
        <item t="default"/>
      </items>
    </pivotField>
    <pivotField showAll="0"/>
    <pivotField showAll="0"/>
    <pivotField showAll="0"/>
    <pivotField showAll="0"/>
    <pivotField axis="axisRow" showAll="0">
      <items count="20">
        <item x="10"/>
        <item x="2"/>
        <item x="7"/>
        <item x="9"/>
        <item x="3"/>
        <item x="12"/>
        <item x="13"/>
        <item x="6"/>
        <item x="0"/>
        <item x="14"/>
        <item x="17"/>
        <item x="15"/>
        <item x="11"/>
        <item x="1"/>
        <item x="5"/>
        <item x="4"/>
        <item x="8"/>
        <item x="16"/>
        <item h="1" x="18"/>
        <item t="default"/>
      </items>
    </pivotField>
    <pivotField showAll="0"/>
    <pivotField showAll="0"/>
    <pivotField showAll="0"/>
    <pivotField showAll="0">
      <items count="655">
        <item x="422"/>
        <item x="198"/>
        <item x="303"/>
        <item x="199"/>
        <item x="80"/>
        <item x="482"/>
        <item x="643"/>
        <item x="553"/>
        <item x="418"/>
        <item x="447"/>
        <item x="626"/>
        <item x="416"/>
        <item x="146"/>
        <item x="320"/>
        <item x="539"/>
        <item x="415"/>
        <item x="265"/>
        <item x="634"/>
        <item x="463"/>
        <item x="587"/>
        <item x="250"/>
        <item x="579"/>
        <item x="421"/>
        <item x="604"/>
        <item x="425"/>
        <item x="586"/>
        <item x="97"/>
        <item x="381"/>
        <item x="308"/>
        <item x="64"/>
        <item x="372"/>
        <item x="489"/>
        <item x="380"/>
        <item x="110"/>
        <item x="195"/>
        <item x="227"/>
        <item x="589"/>
        <item x="155"/>
        <item x="215"/>
        <item x="588"/>
        <item x="240"/>
        <item x="95"/>
        <item x="599"/>
        <item x="473"/>
        <item x="321"/>
        <item x="640"/>
        <item x="559"/>
        <item x="102"/>
        <item x="360"/>
        <item x="295"/>
        <item x="464"/>
        <item x="339"/>
        <item x="273"/>
        <item x="272"/>
        <item x="119"/>
        <item x="173"/>
        <item x="377"/>
        <item x="153"/>
        <item x="174"/>
        <item x="364"/>
        <item x="286"/>
        <item x="561"/>
        <item x="336"/>
        <item x="136"/>
        <item x="132"/>
        <item x="3"/>
        <item x="287"/>
        <item x="592"/>
        <item x="219"/>
        <item x="340"/>
        <item x="62"/>
        <item x="623"/>
        <item x="624"/>
        <item x="582"/>
        <item x="581"/>
        <item x="544"/>
        <item x="222"/>
        <item x="562"/>
        <item x="649"/>
        <item x="580"/>
        <item x="363"/>
        <item x="43"/>
        <item x="495"/>
        <item x="101"/>
        <item x="238"/>
        <item x="499"/>
        <item x="318"/>
        <item x="644"/>
        <item x="51"/>
        <item x="481"/>
        <item x="220"/>
        <item x="275"/>
        <item x="143"/>
        <item x="334"/>
        <item x="7"/>
        <item x="274"/>
        <item x="335"/>
        <item x="204"/>
        <item x="453"/>
        <item x="443"/>
        <item x="129"/>
        <item x="60"/>
        <item x="396"/>
        <item x="13"/>
        <item x="391"/>
        <item x="269"/>
        <item x="154"/>
        <item x="221"/>
        <item x="245"/>
        <item x="445"/>
        <item x="450"/>
        <item x="446"/>
        <item x="414"/>
        <item x="20"/>
        <item x="341"/>
        <item x="536"/>
        <item x="431"/>
        <item x="22"/>
        <item x="160"/>
        <item x="4"/>
        <item x="159"/>
        <item x="356"/>
        <item x="325"/>
        <item x="288"/>
        <item x="614"/>
        <item x="121"/>
        <item x="225"/>
        <item x="67"/>
        <item x="606"/>
        <item x="576"/>
        <item x="113"/>
        <item x="437"/>
        <item x="401"/>
        <item x="114"/>
        <item x="402"/>
        <item x="205"/>
        <item x="327"/>
        <item x="432"/>
        <item x="449"/>
        <item x="239"/>
        <item x="236"/>
        <item x="19"/>
        <item x="524"/>
        <item x="563"/>
        <item x="261"/>
        <item x="600"/>
        <item x="228"/>
        <item x="257"/>
        <item x="478"/>
        <item x="142"/>
        <item x="590"/>
        <item x="55"/>
        <item x="628"/>
        <item x="133"/>
        <item x="231"/>
        <item x="408"/>
        <item x="397"/>
        <item x="483"/>
        <item x="509"/>
        <item x="280"/>
        <item x="652"/>
        <item x="124"/>
        <item x="549"/>
        <item x="176"/>
        <item x="435"/>
        <item x="469"/>
        <item x="359"/>
        <item x="564"/>
        <item x="433"/>
        <item x="399"/>
        <item x="125"/>
        <item x="328"/>
        <item x="35"/>
        <item x="90"/>
        <item x="38"/>
        <item x="289"/>
        <item x="271"/>
        <item x="5"/>
        <item x="556"/>
        <item x="58"/>
        <item x="202"/>
        <item x="256"/>
        <item x="530"/>
        <item x="572"/>
        <item x="426"/>
        <item x="157"/>
        <item x="645"/>
        <item x="309"/>
        <item x="625"/>
        <item x="200"/>
        <item x="444"/>
        <item x="0"/>
        <item x="575"/>
        <item x="621"/>
        <item x="283"/>
        <item x="150"/>
        <item x="519"/>
        <item x="419"/>
        <item x="161"/>
        <item x="479"/>
        <item x="322"/>
        <item x="529"/>
        <item x="352"/>
        <item x="471"/>
        <item x="468"/>
        <item x="34"/>
        <item x="405"/>
        <item x="406"/>
        <item x="118"/>
        <item x="89"/>
        <item x="355"/>
        <item x="350"/>
        <item x="104"/>
        <item x="36"/>
        <item x="349"/>
        <item x="268"/>
        <item x="33"/>
        <item x="284"/>
        <item x="87"/>
        <item x="28"/>
        <item x="607"/>
        <item x="393"/>
        <item x="486"/>
        <item x="522"/>
        <item x="494"/>
        <item x="306"/>
        <item x="358"/>
        <item x="394"/>
        <item x="165"/>
        <item x="307"/>
        <item x="485"/>
        <item x="569"/>
        <item x="21"/>
        <item x="281"/>
        <item x="570"/>
        <item x="571"/>
        <item x="123"/>
        <item x="382"/>
        <item x="84"/>
        <item x="470"/>
        <item x="368"/>
        <item x="279"/>
        <item x="285"/>
        <item x="53"/>
        <item x="44"/>
        <item x="554"/>
        <item x="217"/>
        <item x="505"/>
        <item x="45"/>
        <item x="75"/>
        <item x="177"/>
        <item x="641"/>
        <item x="523"/>
        <item x="314"/>
        <item x="459"/>
        <item x="332"/>
        <item x="9"/>
        <item x="116"/>
        <item x="137"/>
        <item x="646"/>
        <item x="436"/>
        <item x="194"/>
        <item x="109"/>
        <item x="638"/>
        <item x="37"/>
        <item x="541"/>
        <item x="93"/>
        <item x="407"/>
        <item x="216"/>
        <item x="357"/>
        <item x="224"/>
        <item x="293"/>
        <item x="496"/>
        <item x="201"/>
        <item x="185"/>
        <item x="388"/>
        <item x="255"/>
        <item x="105"/>
        <item x="608"/>
        <item x="504"/>
        <item x="42"/>
        <item x="613"/>
        <item x="106"/>
        <item x="23"/>
        <item x="111"/>
        <item x="577"/>
        <item x="26"/>
        <item x="139"/>
        <item x="184"/>
        <item x="310"/>
        <item x="259"/>
        <item x="514"/>
        <item x="158"/>
        <item x="30"/>
        <item x="319"/>
        <item x="65"/>
        <item x="41"/>
        <item x="605"/>
        <item x="410"/>
        <item x="500"/>
        <item x="612"/>
        <item x="642"/>
        <item x="324"/>
        <item x="383"/>
        <item x="630"/>
        <item x="451"/>
        <item x="83"/>
        <item x="455"/>
        <item x="86"/>
        <item x="540"/>
        <item x="243"/>
        <item x="69"/>
        <item x="91"/>
        <item x="186"/>
        <item x="342"/>
        <item x="343"/>
        <item x="301"/>
        <item x="24"/>
        <item x="596"/>
        <item x="618"/>
        <item x="88"/>
        <item x="253"/>
        <item x="442"/>
        <item x="128"/>
        <item x="244"/>
        <item x="52"/>
        <item x="498"/>
        <item x="637"/>
        <item x="560"/>
        <item x="430"/>
        <item x="510"/>
        <item x="639"/>
        <item x="507"/>
        <item x="517"/>
        <item x="552"/>
        <item x="266"/>
        <item x="594"/>
        <item x="251"/>
        <item x="591"/>
        <item x="127"/>
        <item x="148"/>
        <item x="278"/>
        <item x="518"/>
        <item x="81"/>
        <item x="534"/>
        <item x="300"/>
        <item x="617"/>
        <item x="47"/>
        <item x="535"/>
        <item x="317"/>
        <item x="8"/>
        <item x="103"/>
        <item x="6"/>
        <item x="650"/>
        <item x="595"/>
        <item x="574"/>
        <item x="170"/>
        <item x="151"/>
        <item x="71"/>
        <item x="610"/>
        <item x="72"/>
        <item x="386"/>
        <item x="543"/>
        <item x="112"/>
        <item x="246"/>
        <item x="175"/>
        <item x="92"/>
        <item x="15"/>
        <item x="214"/>
        <item x="208"/>
        <item x="329"/>
        <item x="48"/>
        <item x="545"/>
        <item x="232"/>
        <item x="50"/>
        <item x="312"/>
        <item x="235"/>
        <item x="99"/>
        <item x="258"/>
        <item x="130"/>
        <item x="276"/>
        <item x="403"/>
        <item x="98"/>
        <item x="267"/>
        <item x="460"/>
        <item x="487"/>
        <item x="172"/>
        <item x="135"/>
        <item x="187"/>
        <item x="140"/>
        <item x="241"/>
        <item x="557"/>
        <item x="134"/>
        <item x="94"/>
        <item x="183"/>
        <item x="423"/>
        <item x="528"/>
        <item x="392"/>
        <item x="144"/>
        <item x="345"/>
        <item x="82"/>
        <item x="648"/>
        <item x="551"/>
        <item x="629"/>
        <item x="298"/>
        <item x="351"/>
        <item x="555"/>
        <item x="331"/>
        <item x="74"/>
        <item x="353"/>
        <item x="191"/>
        <item x="506"/>
        <item x="40"/>
        <item x="511"/>
        <item x="164"/>
        <item x="182"/>
        <item x="315"/>
        <item x="566"/>
        <item x="395"/>
        <item x="302"/>
        <item x="348"/>
        <item x="252"/>
        <item x="484"/>
        <item x="313"/>
        <item x="651"/>
        <item x="203"/>
        <item x="54"/>
        <item x="197"/>
        <item x="108"/>
        <item x="404"/>
        <item x="263"/>
        <item x="230"/>
        <item x="247"/>
        <item x="513"/>
        <item x="14"/>
        <item x="16"/>
        <item x="420"/>
        <item x="548"/>
        <item x="584"/>
        <item x="573"/>
        <item x="585"/>
        <item x="73"/>
        <item x="196"/>
        <item x="76"/>
        <item x="85"/>
        <item x="120"/>
        <item x="369"/>
        <item x="601"/>
        <item x="77"/>
        <item x="166"/>
        <item x="156"/>
        <item x="254"/>
        <item x="292"/>
        <item x="531"/>
        <item x="126"/>
        <item x="635"/>
        <item x="441"/>
        <item x="417"/>
        <item x="542"/>
        <item x="330"/>
        <item x="440"/>
        <item x="179"/>
        <item x="207"/>
        <item x="264"/>
        <item x="488"/>
        <item x="448"/>
        <item x="620"/>
        <item x="429"/>
        <item x="96"/>
        <item x="27"/>
        <item x="290"/>
        <item x="294"/>
        <item x="2"/>
        <item x="538"/>
        <item x="66"/>
        <item x="78"/>
        <item x="141"/>
        <item x="424"/>
        <item x="100"/>
        <item x="497"/>
        <item x="262"/>
        <item x="636"/>
        <item x="211"/>
        <item x="454"/>
        <item x="39"/>
        <item x="147"/>
        <item x="149"/>
        <item x="457"/>
        <item x="70"/>
        <item x="299"/>
        <item x="1"/>
        <item x="138"/>
        <item x="326"/>
        <item x="371"/>
        <item x="461"/>
        <item x="375"/>
        <item x="376"/>
        <item x="567"/>
        <item x="115"/>
        <item x="233"/>
        <item x="379"/>
        <item x="242"/>
        <item x="370"/>
        <item x="632"/>
        <item x="57"/>
        <item x="181"/>
        <item x="305"/>
        <item x="122"/>
        <item x="223"/>
        <item x="398"/>
        <item x="210"/>
        <item x="527"/>
        <item x="512"/>
        <item x="17"/>
        <item x="508"/>
        <item x="373"/>
        <item x="131"/>
        <item x="492"/>
        <item x="428"/>
        <item x="11"/>
        <item x="31"/>
        <item x="152"/>
        <item x="226"/>
        <item x="491"/>
        <item x="568"/>
        <item x="218"/>
        <item x="46"/>
        <item x="390"/>
        <item x="277"/>
        <item x="32"/>
        <item x="234"/>
        <item x="249"/>
        <item x="516"/>
        <item x="56"/>
        <item x="520"/>
        <item x="526"/>
        <item x="18"/>
        <item x="212"/>
        <item x="145"/>
        <item x="400"/>
        <item x="427"/>
        <item x="162"/>
        <item x="413"/>
        <item x="533"/>
        <item x="344"/>
        <item x="474"/>
        <item x="466"/>
        <item x="493"/>
        <item x="456"/>
        <item x="367"/>
        <item x="365"/>
        <item x="480"/>
        <item x="616"/>
        <item x="438"/>
        <item x="260"/>
        <item x="609"/>
        <item x="627"/>
        <item x="49"/>
        <item x="209"/>
        <item x="163"/>
        <item x="296"/>
        <item x="361"/>
        <item x="169"/>
        <item x="117"/>
        <item x="411"/>
        <item x="190"/>
        <item x="304"/>
        <item x="282"/>
        <item x="619"/>
        <item x="193"/>
        <item x="29"/>
        <item x="515"/>
        <item x="467"/>
        <item x="270"/>
        <item x="611"/>
        <item x="248"/>
        <item x="362"/>
        <item x="107"/>
        <item x="558"/>
        <item x="291"/>
        <item x="378"/>
        <item x="550"/>
        <item x="68"/>
        <item x="366"/>
        <item x="178"/>
        <item x="180"/>
        <item x="465"/>
        <item x="389"/>
        <item x="297"/>
        <item x="347"/>
        <item x="434"/>
        <item x="521"/>
        <item x="79"/>
        <item x="59"/>
        <item x="598"/>
        <item x="346"/>
        <item x="10"/>
        <item x="647"/>
        <item x="168"/>
        <item x="171"/>
        <item x="384"/>
        <item x="12"/>
        <item x="63"/>
        <item x="565"/>
        <item x="439"/>
        <item x="167"/>
        <item x="333"/>
        <item x="237"/>
        <item x="615"/>
        <item x="476"/>
        <item x="631"/>
        <item x="458"/>
        <item x="192"/>
        <item x="532"/>
        <item x="633"/>
        <item x="462"/>
        <item x="316"/>
        <item x="602"/>
        <item x="323"/>
        <item x="597"/>
        <item x="501"/>
        <item x="603"/>
        <item x="503"/>
        <item x="578"/>
        <item x="502"/>
        <item x="475"/>
        <item x="206"/>
        <item x="583"/>
        <item x="452"/>
        <item x="593"/>
        <item x="385"/>
        <item x="525"/>
        <item x="188"/>
        <item x="189"/>
        <item x="472"/>
        <item x="337"/>
        <item x="546"/>
        <item x="338"/>
        <item x="311"/>
        <item x="622"/>
        <item x="61"/>
        <item x="490"/>
        <item x="354"/>
        <item x="477"/>
        <item x="229"/>
        <item x="387"/>
        <item x="25"/>
        <item x="409"/>
        <item x="547"/>
        <item x="213"/>
        <item x="537"/>
        <item x="374"/>
        <item x="412"/>
        <item x="653"/>
        <item t="default"/>
      </items>
    </pivotField>
    <pivotField dataField="1" showAll="0">
      <items count="523">
        <item x="10"/>
        <item x="188"/>
        <item x="259"/>
        <item x="120"/>
        <item x="418"/>
        <item x="196"/>
        <item x="112"/>
        <item x="480"/>
        <item x="217"/>
        <item x="512"/>
        <item x="25"/>
        <item x="354"/>
        <item x="214"/>
        <item x="38"/>
        <item x="154"/>
        <item x="2"/>
        <item x="73"/>
        <item x="385"/>
        <item x="93"/>
        <item x="24"/>
        <item x="42"/>
        <item x="27"/>
        <item x="113"/>
        <item x="239"/>
        <item x="215"/>
        <item x="213"/>
        <item x="70"/>
        <item x="448"/>
        <item x="137"/>
        <item x="184"/>
        <item x="85"/>
        <item x="115"/>
        <item x="108"/>
        <item x="12"/>
        <item x="406"/>
        <item x="109"/>
        <item x="11"/>
        <item x="89"/>
        <item x="322"/>
        <item x="37"/>
        <item x="229"/>
        <item x="107"/>
        <item x="118"/>
        <item x="236"/>
        <item x="75"/>
        <item x="50"/>
        <item x="488"/>
        <item x="515"/>
        <item x="401"/>
        <item x="198"/>
        <item x="355"/>
        <item x="138"/>
        <item x="382"/>
        <item x="101"/>
        <item x="129"/>
        <item x="57"/>
        <item x="340"/>
        <item x="324"/>
        <item x="216"/>
        <item x="394"/>
        <item x="26"/>
        <item x="14"/>
        <item x="516"/>
        <item x="8"/>
        <item x="330"/>
        <item x="69"/>
        <item x="266"/>
        <item x="363"/>
        <item x="143"/>
        <item x="193"/>
        <item x="312"/>
        <item x="170"/>
        <item x="29"/>
        <item x="517"/>
        <item x="90"/>
        <item x="506"/>
        <item x="94"/>
        <item x="374"/>
        <item x="403"/>
        <item x="64"/>
        <item x="52"/>
        <item x="284"/>
        <item x="20"/>
        <item x="419"/>
        <item x="392"/>
        <item x="91"/>
        <item x="455"/>
        <item x="331"/>
        <item x="110"/>
        <item x="269"/>
        <item x="16"/>
        <item x="4"/>
        <item x="7"/>
        <item x="103"/>
        <item x="270"/>
        <item x="271"/>
        <item x="100"/>
        <item x="167"/>
        <item x="237"/>
        <item x="299"/>
        <item x="168"/>
        <item x="95"/>
        <item x="301"/>
        <item x="153"/>
        <item x="244"/>
        <item x="33"/>
        <item x="185"/>
        <item x="487"/>
        <item x="66"/>
        <item x="405"/>
        <item x="1"/>
        <item x="255"/>
        <item x="298"/>
        <item x="44"/>
        <item x="420"/>
        <item x="65"/>
        <item x="267"/>
        <item x="339"/>
        <item x="9"/>
        <item x="41"/>
        <item x="174"/>
        <item x="391"/>
        <item x="163"/>
        <item x="19"/>
        <item x="151"/>
        <item x="311"/>
        <item x="314"/>
        <item x="353"/>
        <item x="102"/>
        <item x="310"/>
        <item x="169"/>
        <item x="92"/>
        <item x="157"/>
        <item x="404"/>
        <item x="145"/>
        <item x="490"/>
        <item x="152"/>
        <item x="192"/>
        <item x="159"/>
        <item x="234"/>
        <item x="484"/>
        <item x="205"/>
        <item x="285"/>
        <item x="135"/>
        <item x="513"/>
        <item x="15"/>
        <item x="497"/>
        <item x="251"/>
        <item x="175"/>
        <item x="486"/>
        <item x="477"/>
        <item x="194"/>
        <item x="365"/>
        <item x="53"/>
        <item x="54"/>
        <item x="350"/>
        <item x="68"/>
        <item x="268"/>
        <item x="278"/>
        <item x="58"/>
        <item x="410"/>
        <item x="202"/>
        <item x="117"/>
        <item x="111"/>
        <item x="491"/>
        <item x="105"/>
        <item x="481"/>
        <item x="435"/>
        <item x="519"/>
        <item x="63"/>
        <item x="345"/>
        <item x="373"/>
        <item x="347"/>
        <item x="296"/>
        <item x="224"/>
        <item x="78"/>
        <item x="190"/>
        <item x="206"/>
        <item x="207"/>
        <item x="40"/>
        <item x="98"/>
        <item x="489"/>
        <item x="293"/>
        <item x="329"/>
        <item x="294"/>
        <item x="209"/>
        <item x="21"/>
        <item x="478"/>
        <item x="453"/>
        <item x="362"/>
        <item x="458"/>
        <item x="313"/>
        <item x="173"/>
        <item x="200"/>
        <item x="130"/>
        <item x="431"/>
        <item x="61"/>
        <item x="106"/>
        <item x="252"/>
        <item x="247"/>
        <item x="402"/>
        <item x="36"/>
        <item x="122"/>
        <item x="443"/>
        <item x="131"/>
        <item x="449"/>
        <item x="411"/>
        <item x="35"/>
        <item x="210"/>
        <item x="333"/>
        <item x="302"/>
        <item x="171"/>
        <item x="60"/>
        <item x="134"/>
        <item x="327"/>
        <item x="356"/>
        <item x="116"/>
        <item x="6"/>
        <item x="104"/>
        <item x="277"/>
        <item x="461"/>
        <item x="289"/>
        <item x="315"/>
        <item x="479"/>
        <item x="34"/>
        <item x="316"/>
        <item x="223"/>
        <item x="472"/>
        <item x="442"/>
        <item x="212"/>
        <item x="179"/>
        <item x="23"/>
        <item x="250"/>
        <item x="156"/>
        <item x="43"/>
        <item x="197"/>
        <item x="56"/>
        <item x="62"/>
        <item x="348"/>
        <item x="309"/>
        <item x="160"/>
        <item x="161"/>
        <item x="80"/>
        <item x="166"/>
        <item x="495"/>
        <item x="349"/>
        <item x="211"/>
        <item x="393"/>
        <item x="352"/>
        <item x="300"/>
        <item x="383"/>
        <item x="28"/>
        <item x="413"/>
        <item x="121"/>
        <item x="49"/>
        <item x="201"/>
        <item x="263"/>
        <item x="440"/>
        <item x="77"/>
        <item x="372"/>
        <item x="370"/>
        <item x="178"/>
        <item x="76"/>
        <item x="233"/>
        <item x="297"/>
        <item x="176"/>
        <item x="86"/>
        <item x="380"/>
        <item x="32"/>
        <item x="378"/>
        <item x="164"/>
        <item x="47"/>
        <item x="388"/>
        <item x="276"/>
        <item x="425"/>
        <item x="454"/>
        <item x="55"/>
        <item x="222"/>
        <item x="189"/>
        <item x="437"/>
        <item x="422"/>
        <item x="384"/>
        <item x="407"/>
        <item x="279"/>
        <item x="463"/>
        <item x="307"/>
        <item x="133"/>
        <item x="249"/>
        <item x="218"/>
        <item x="439"/>
        <item x="387"/>
        <item x="395"/>
        <item x="367"/>
        <item x="45"/>
        <item x="460"/>
        <item x="261"/>
        <item x="466"/>
        <item x="500"/>
        <item x="318"/>
        <item x="257"/>
        <item x="371"/>
        <item x="155"/>
        <item x="447"/>
        <item x="445"/>
        <item x="240"/>
        <item x="358"/>
        <item x="246"/>
        <item x="366"/>
        <item x="280"/>
        <item x="361"/>
        <item x="465"/>
        <item x="288"/>
        <item x="158"/>
        <item x="125"/>
        <item x="292"/>
        <item x="470"/>
        <item x="242"/>
        <item x="149"/>
        <item x="150"/>
        <item x="264"/>
        <item x="426"/>
        <item x="126"/>
        <item x="74"/>
        <item x="444"/>
        <item x="231"/>
        <item x="369"/>
        <item x="417"/>
        <item x="228"/>
        <item x="180"/>
        <item x="306"/>
        <item x="364"/>
        <item x="317"/>
        <item x="430"/>
        <item x="389"/>
        <item x="83"/>
        <item x="428"/>
        <item x="139"/>
        <item x="172"/>
        <item x="187"/>
        <item x="0"/>
        <item x="344"/>
        <item x="256"/>
        <item x="390"/>
        <item x="398"/>
        <item x="181"/>
        <item x="325"/>
        <item x="397"/>
        <item x="368"/>
        <item x="238"/>
        <item x="5"/>
        <item x="235"/>
        <item x="114"/>
        <item x="195"/>
        <item x="183"/>
        <item x="346"/>
        <item x="219"/>
        <item x="505"/>
        <item x="186"/>
        <item x="59"/>
        <item x="254"/>
        <item x="494"/>
        <item x="81"/>
        <item x="265"/>
        <item x="342"/>
        <item x="48"/>
        <item x="17"/>
        <item x="498"/>
        <item x="504"/>
        <item x="492"/>
        <item x="82"/>
        <item x="203"/>
        <item x="248"/>
        <item x="379"/>
        <item x="245"/>
        <item x="51"/>
        <item x="408"/>
        <item x="220"/>
        <item x="400"/>
        <item x="97"/>
        <item x="128"/>
        <item x="291"/>
        <item x="452"/>
        <item x="275"/>
        <item x="262"/>
        <item x="320"/>
        <item x="283"/>
        <item x="328"/>
        <item x="474"/>
        <item x="415"/>
        <item x="351"/>
        <item x="321"/>
        <item x="308"/>
        <item x="462"/>
        <item x="304"/>
        <item x="99"/>
        <item x="493"/>
        <item x="381"/>
        <item x="502"/>
        <item x="335"/>
        <item x="3"/>
        <item x="127"/>
        <item x="485"/>
        <item x="258"/>
        <item x="274"/>
        <item x="334"/>
        <item x="13"/>
        <item x="147"/>
        <item x="357"/>
        <item x="337"/>
        <item x="451"/>
        <item x="165"/>
        <item x="136"/>
        <item x="434"/>
        <item x="424"/>
        <item x="399"/>
        <item x="177"/>
        <item x="332"/>
        <item x="482"/>
        <item x="507"/>
        <item x="290"/>
        <item x="446"/>
        <item x="46"/>
        <item x="22"/>
        <item x="499"/>
        <item x="416"/>
        <item x="441"/>
        <item x="338"/>
        <item x="208"/>
        <item x="31"/>
        <item x="319"/>
        <item x="39"/>
        <item x="359"/>
        <item x="503"/>
        <item x="432"/>
        <item x="483"/>
        <item x="260"/>
        <item x="132"/>
        <item x="282"/>
        <item x="71"/>
        <item x="509"/>
        <item x="323"/>
        <item x="518"/>
        <item x="124"/>
        <item x="182"/>
        <item x="341"/>
        <item x="414"/>
        <item x="303"/>
        <item x="67"/>
        <item x="225"/>
        <item x="471"/>
        <item x="243"/>
        <item x="148"/>
        <item x="96"/>
        <item x="468"/>
        <item x="412"/>
        <item x="450"/>
        <item x="232"/>
        <item x="501"/>
        <item x="253"/>
        <item x="286"/>
        <item x="386"/>
        <item x="230"/>
        <item x="457"/>
        <item x="427"/>
        <item x="496"/>
        <item x="464"/>
        <item x="140"/>
        <item x="326"/>
        <item x="396"/>
        <item x="469"/>
        <item x="409"/>
        <item x="142"/>
        <item x="199"/>
        <item x="476"/>
        <item x="227"/>
        <item x="226"/>
        <item x="204"/>
        <item x="510"/>
        <item x="241"/>
        <item x="514"/>
        <item x="429"/>
        <item x="287"/>
        <item x="272"/>
        <item x="295"/>
        <item x="377"/>
        <item x="375"/>
        <item x="88"/>
        <item x="423"/>
        <item x="123"/>
        <item x="456"/>
        <item x="360"/>
        <item x="421"/>
        <item x="146"/>
        <item x="520"/>
        <item x="467"/>
        <item x="475"/>
        <item x="221"/>
        <item x="508"/>
        <item x="343"/>
        <item x="459"/>
        <item x="79"/>
        <item x="473"/>
        <item x="305"/>
        <item x="141"/>
        <item x="87"/>
        <item x="84"/>
        <item x="433"/>
        <item x="119"/>
        <item x="18"/>
        <item x="191"/>
        <item x="30"/>
        <item x="436"/>
        <item x="72"/>
        <item x="144"/>
        <item x="162"/>
        <item x="273"/>
        <item x="281"/>
        <item x="511"/>
        <item x="438"/>
        <item x="376"/>
        <item x="336"/>
        <item x="521"/>
        <item t="default"/>
      </items>
    </pivotField>
    <pivotField showAll="0"/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Viewership.Duration 2" fld="15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B1F78-43AC-4694-A1F3-2960318242A8}" name="PivotTable8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1">
        <item x="80"/>
        <item x="86"/>
        <item x="55"/>
        <item x="67"/>
        <item x="25"/>
        <item x="105"/>
        <item x="76"/>
        <item x="21"/>
        <item x="9"/>
        <item x="89"/>
        <item x="49"/>
        <item x="100"/>
        <item x="54"/>
        <item x="10"/>
        <item x="6"/>
        <item x="52"/>
        <item x="35"/>
        <item x="16"/>
        <item x="66"/>
        <item x="4"/>
        <item x="20"/>
        <item x="88"/>
        <item x="108"/>
        <item x="65"/>
        <item x="63"/>
        <item x="102"/>
        <item x="70"/>
        <item x="5"/>
        <item x="81"/>
        <item x="84"/>
        <item x="53"/>
        <item x="44"/>
        <item x="39"/>
        <item x="94"/>
        <item x="87"/>
        <item x="83"/>
        <item x="91"/>
        <item x="71"/>
        <item x="96"/>
        <item x="7"/>
        <item x="2"/>
        <item x="101"/>
        <item x="60"/>
        <item x="29"/>
        <item x="14"/>
        <item x="62"/>
        <item x="77"/>
        <item x="59"/>
        <item x="95"/>
        <item x="19"/>
        <item x="50"/>
        <item x="82"/>
        <item x="103"/>
        <item x="13"/>
        <item x="40"/>
        <item x="57"/>
        <item x="11"/>
        <item x="78"/>
        <item x="79"/>
        <item x="75"/>
        <item x="93"/>
        <item x="43"/>
        <item x="47"/>
        <item x="24"/>
        <item x="104"/>
        <item x="99"/>
        <item x="32"/>
        <item x="61"/>
        <item x="46"/>
        <item x="31"/>
        <item x="34"/>
        <item x="69"/>
        <item x="98"/>
        <item x="64"/>
        <item x="107"/>
        <item x="68"/>
        <item x="74"/>
        <item x="28"/>
        <item x="18"/>
        <item x="36"/>
        <item x="51"/>
        <item x="27"/>
        <item x="45"/>
        <item x="38"/>
        <item x="97"/>
        <item x="23"/>
        <item x="72"/>
        <item x="58"/>
        <item x="33"/>
        <item x="17"/>
        <item x="56"/>
        <item x="1"/>
        <item x="8"/>
        <item x="26"/>
        <item x="48"/>
        <item x="73"/>
        <item x="30"/>
        <item x="37"/>
        <item x="106"/>
        <item x="22"/>
        <item x="85"/>
        <item x="15"/>
        <item x="90"/>
        <item x="12"/>
        <item x="41"/>
        <item x="92"/>
        <item x="42"/>
        <item x="3"/>
        <item x="0"/>
        <item x="109"/>
        <item t="default"/>
      </items>
    </pivotField>
    <pivotField showAll="0"/>
    <pivotField showAll="0"/>
    <pivotField showAll="0"/>
    <pivotField showAll="0"/>
    <pivotField showAll="0"/>
    <pivotField showAll="0">
      <items count="655">
        <item x="422"/>
        <item x="198"/>
        <item x="303"/>
        <item x="199"/>
        <item x="80"/>
        <item x="482"/>
        <item x="643"/>
        <item x="553"/>
        <item x="418"/>
        <item x="447"/>
        <item x="626"/>
        <item x="416"/>
        <item x="146"/>
        <item x="320"/>
        <item x="539"/>
        <item x="415"/>
        <item x="265"/>
        <item x="634"/>
        <item x="463"/>
        <item x="587"/>
        <item x="250"/>
        <item x="579"/>
        <item x="421"/>
        <item x="604"/>
        <item x="425"/>
        <item x="586"/>
        <item x="97"/>
        <item x="381"/>
        <item x="308"/>
        <item x="64"/>
        <item x="372"/>
        <item x="489"/>
        <item x="380"/>
        <item x="110"/>
        <item x="195"/>
        <item x="227"/>
        <item x="589"/>
        <item x="155"/>
        <item x="215"/>
        <item x="588"/>
        <item x="240"/>
        <item x="95"/>
        <item x="599"/>
        <item x="473"/>
        <item x="321"/>
        <item x="640"/>
        <item x="559"/>
        <item x="102"/>
        <item x="360"/>
        <item x="295"/>
        <item x="464"/>
        <item x="339"/>
        <item x="273"/>
        <item x="272"/>
        <item x="119"/>
        <item x="173"/>
        <item x="377"/>
        <item x="153"/>
        <item x="174"/>
        <item x="364"/>
        <item x="286"/>
        <item x="561"/>
        <item x="336"/>
        <item x="136"/>
        <item x="132"/>
        <item x="3"/>
        <item x="287"/>
        <item x="592"/>
        <item x="219"/>
        <item x="340"/>
        <item x="62"/>
        <item x="623"/>
        <item x="624"/>
        <item x="582"/>
        <item x="581"/>
        <item x="544"/>
        <item x="222"/>
        <item x="562"/>
        <item x="649"/>
        <item x="580"/>
        <item x="363"/>
        <item x="43"/>
        <item x="495"/>
        <item x="101"/>
        <item x="238"/>
        <item x="499"/>
        <item x="318"/>
        <item x="644"/>
        <item x="51"/>
        <item x="481"/>
        <item x="220"/>
        <item x="275"/>
        <item x="143"/>
        <item x="334"/>
        <item x="7"/>
        <item x="274"/>
        <item x="335"/>
        <item x="204"/>
        <item x="453"/>
        <item x="443"/>
        <item x="129"/>
        <item x="60"/>
        <item x="396"/>
        <item x="13"/>
        <item x="391"/>
        <item x="269"/>
        <item x="154"/>
        <item x="221"/>
        <item x="245"/>
        <item x="445"/>
        <item x="450"/>
        <item x="446"/>
        <item x="414"/>
        <item x="20"/>
        <item x="341"/>
        <item x="536"/>
        <item x="431"/>
        <item x="22"/>
        <item x="160"/>
        <item x="4"/>
        <item x="159"/>
        <item x="356"/>
        <item x="325"/>
        <item x="288"/>
        <item x="614"/>
        <item x="121"/>
        <item x="225"/>
        <item x="67"/>
        <item x="606"/>
        <item x="576"/>
        <item x="113"/>
        <item x="437"/>
        <item x="401"/>
        <item x="114"/>
        <item x="402"/>
        <item x="205"/>
        <item x="327"/>
        <item x="432"/>
        <item x="449"/>
        <item x="239"/>
        <item x="236"/>
        <item x="19"/>
        <item x="524"/>
        <item x="563"/>
        <item x="261"/>
        <item x="600"/>
        <item x="228"/>
        <item x="257"/>
        <item x="478"/>
        <item x="142"/>
        <item x="590"/>
        <item x="55"/>
        <item x="628"/>
        <item x="133"/>
        <item x="231"/>
        <item x="408"/>
        <item x="397"/>
        <item x="483"/>
        <item x="509"/>
        <item x="280"/>
        <item x="652"/>
        <item x="124"/>
        <item x="549"/>
        <item x="176"/>
        <item x="435"/>
        <item x="469"/>
        <item x="359"/>
        <item x="564"/>
        <item x="433"/>
        <item x="399"/>
        <item x="125"/>
        <item x="328"/>
        <item x="35"/>
        <item x="90"/>
        <item x="38"/>
        <item x="289"/>
        <item x="271"/>
        <item x="5"/>
        <item x="556"/>
        <item x="58"/>
        <item x="202"/>
        <item x="256"/>
        <item x="530"/>
        <item x="572"/>
        <item x="426"/>
        <item x="157"/>
        <item x="645"/>
        <item x="309"/>
        <item x="625"/>
        <item x="200"/>
        <item x="444"/>
        <item x="0"/>
        <item x="575"/>
        <item x="621"/>
        <item x="283"/>
        <item x="150"/>
        <item x="519"/>
        <item x="419"/>
        <item x="161"/>
        <item x="479"/>
        <item x="322"/>
        <item x="529"/>
        <item x="352"/>
        <item x="471"/>
        <item x="468"/>
        <item x="34"/>
        <item x="405"/>
        <item x="406"/>
        <item x="118"/>
        <item x="89"/>
        <item x="355"/>
        <item x="350"/>
        <item x="104"/>
        <item x="36"/>
        <item x="349"/>
        <item x="268"/>
        <item x="33"/>
        <item x="284"/>
        <item x="87"/>
        <item x="28"/>
        <item x="607"/>
        <item x="393"/>
        <item x="486"/>
        <item x="522"/>
        <item x="494"/>
        <item x="306"/>
        <item x="358"/>
        <item x="394"/>
        <item x="165"/>
        <item x="307"/>
        <item x="485"/>
        <item x="569"/>
        <item x="21"/>
        <item x="281"/>
        <item x="570"/>
        <item x="571"/>
        <item x="123"/>
        <item x="382"/>
        <item x="84"/>
        <item x="470"/>
        <item x="368"/>
        <item x="279"/>
        <item x="285"/>
        <item x="53"/>
        <item x="44"/>
        <item x="554"/>
        <item x="217"/>
        <item x="505"/>
        <item x="45"/>
        <item x="75"/>
        <item x="177"/>
        <item x="641"/>
        <item x="523"/>
        <item x="314"/>
        <item x="459"/>
        <item x="332"/>
        <item x="9"/>
        <item x="116"/>
        <item x="137"/>
        <item x="646"/>
        <item x="436"/>
        <item x="194"/>
        <item x="109"/>
        <item x="638"/>
        <item x="37"/>
        <item x="541"/>
        <item x="93"/>
        <item x="407"/>
        <item x="216"/>
        <item x="357"/>
        <item x="224"/>
        <item x="293"/>
        <item x="496"/>
        <item x="201"/>
        <item x="185"/>
        <item x="388"/>
        <item x="255"/>
        <item x="105"/>
        <item x="608"/>
        <item x="504"/>
        <item x="42"/>
        <item x="613"/>
        <item x="106"/>
        <item x="23"/>
        <item x="111"/>
        <item x="577"/>
        <item x="26"/>
        <item x="139"/>
        <item x="184"/>
        <item x="310"/>
        <item x="259"/>
        <item x="514"/>
        <item x="158"/>
        <item x="30"/>
        <item x="319"/>
        <item x="65"/>
        <item x="41"/>
        <item x="605"/>
        <item x="410"/>
        <item x="500"/>
        <item x="612"/>
        <item x="642"/>
        <item x="324"/>
        <item x="383"/>
        <item x="630"/>
        <item x="451"/>
        <item x="83"/>
        <item x="455"/>
        <item x="86"/>
        <item x="540"/>
        <item x="243"/>
        <item x="69"/>
        <item x="91"/>
        <item x="186"/>
        <item x="342"/>
        <item x="343"/>
        <item x="301"/>
        <item x="24"/>
        <item x="596"/>
        <item x="618"/>
        <item x="88"/>
        <item x="253"/>
        <item x="442"/>
        <item x="128"/>
        <item x="244"/>
        <item x="52"/>
        <item x="498"/>
        <item x="637"/>
        <item x="560"/>
        <item x="430"/>
        <item x="510"/>
        <item x="639"/>
        <item x="507"/>
        <item x="517"/>
        <item x="552"/>
        <item x="266"/>
        <item x="594"/>
        <item x="251"/>
        <item x="591"/>
        <item x="127"/>
        <item x="148"/>
        <item x="278"/>
        <item x="518"/>
        <item x="81"/>
        <item x="534"/>
        <item x="300"/>
        <item x="617"/>
        <item x="47"/>
        <item x="535"/>
        <item x="317"/>
        <item x="8"/>
        <item x="103"/>
        <item x="6"/>
        <item x="650"/>
        <item x="595"/>
        <item x="574"/>
        <item x="170"/>
        <item x="151"/>
        <item x="71"/>
        <item x="610"/>
        <item x="72"/>
        <item x="386"/>
        <item x="543"/>
        <item x="112"/>
        <item x="246"/>
        <item x="175"/>
        <item x="92"/>
        <item x="15"/>
        <item x="214"/>
        <item x="208"/>
        <item x="329"/>
        <item x="48"/>
        <item x="545"/>
        <item x="232"/>
        <item x="50"/>
        <item x="312"/>
        <item x="235"/>
        <item x="99"/>
        <item x="258"/>
        <item x="130"/>
        <item x="276"/>
        <item x="403"/>
        <item x="98"/>
        <item x="267"/>
        <item x="460"/>
        <item x="487"/>
        <item x="172"/>
        <item x="135"/>
        <item x="187"/>
        <item x="140"/>
        <item x="241"/>
        <item x="557"/>
        <item x="134"/>
        <item x="94"/>
        <item x="183"/>
        <item x="423"/>
        <item x="528"/>
        <item x="392"/>
        <item x="144"/>
        <item x="345"/>
        <item x="82"/>
        <item x="648"/>
        <item x="551"/>
        <item x="629"/>
        <item x="298"/>
        <item x="351"/>
        <item x="555"/>
        <item x="331"/>
        <item x="74"/>
        <item x="353"/>
        <item x="191"/>
        <item x="506"/>
        <item x="40"/>
        <item x="511"/>
        <item x="164"/>
        <item x="182"/>
        <item x="315"/>
        <item x="566"/>
        <item x="395"/>
        <item x="302"/>
        <item x="348"/>
        <item x="252"/>
        <item x="484"/>
        <item x="313"/>
        <item x="651"/>
        <item x="203"/>
        <item x="54"/>
        <item x="197"/>
        <item x="108"/>
        <item x="404"/>
        <item x="263"/>
        <item x="230"/>
        <item x="247"/>
        <item x="513"/>
        <item x="14"/>
        <item x="16"/>
        <item x="420"/>
        <item x="548"/>
        <item x="584"/>
        <item x="573"/>
        <item x="585"/>
        <item x="73"/>
        <item x="196"/>
        <item x="76"/>
        <item x="85"/>
        <item x="120"/>
        <item x="369"/>
        <item x="601"/>
        <item x="77"/>
        <item x="166"/>
        <item x="156"/>
        <item x="254"/>
        <item x="292"/>
        <item x="531"/>
        <item x="126"/>
        <item x="635"/>
        <item x="441"/>
        <item x="417"/>
        <item x="542"/>
        <item x="330"/>
        <item x="440"/>
        <item x="179"/>
        <item x="207"/>
        <item x="264"/>
        <item x="488"/>
        <item x="448"/>
        <item x="620"/>
        <item x="429"/>
        <item x="96"/>
        <item x="27"/>
        <item x="290"/>
        <item x="294"/>
        <item x="2"/>
        <item x="538"/>
        <item x="66"/>
        <item x="78"/>
        <item x="141"/>
        <item x="424"/>
        <item x="100"/>
        <item x="497"/>
        <item x="262"/>
        <item x="636"/>
        <item x="211"/>
        <item x="454"/>
        <item x="39"/>
        <item x="147"/>
        <item x="149"/>
        <item x="457"/>
        <item x="70"/>
        <item x="299"/>
        <item x="1"/>
        <item x="138"/>
        <item x="326"/>
        <item x="371"/>
        <item x="461"/>
        <item x="375"/>
        <item x="376"/>
        <item x="567"/>
        <item x="115"/>
        <item x="233"/>
        <item x="379"/>
        <item x="242"/>
        <item x="370"/>
        <item x="632"/>
        <item x="57"/>
        <item x="181"/>
        <item x="305"/>
        <item x="122"/>
        <item x="223"/>
        <item x="398"/>
        <item x="210"/>
        <item x="527"/>
        <item x="512"/>
        <item x="17"/>
        <item x="508"/>
        <item x="373"/>
        <item x="131"/>
        <item x="492"/>
        <item x="428"/>
        <item x="11"/>
        <item x="31"/>
        <item x="152"/>
        <item x="226"/>
        <item x="491"/>
        <item x="568"/>
        <item x="218"/>
        <item x="46"/>
        <item x="390"/>
        <item x="277"/>
        <item x="32"/>
        <item x="234"/>
        <item x="249"/>
        <item x="516"/>
        <item x="56"/>
        <item x="520"/>
        <item x="526"/>
        <item x="18"/>
        <item x="212"/>
        <item x="145"/>
        <item x="400"/>
        <item x="427"/>
        <item x="162"/>
        <item x="413"/>
        <item x="533"/>
        <item x="344"/>
        <item x="474"/>
        <item x="466"/>
        <item x="493"/>
        <item x="456"/>
        <item x="367"/>
        <item x="365"/>
        <item x="480"/>
        <item x="616"/>
        <item x="438"/>
        <item x="260"/>
        <item x="609"/>
        <item x="627"/>
        <item x="49"/>
        <item x="209"/>
        <item x="163"/>
        <item x="296"/>
        <item x="361"/>
        <item x="169"/>
        <item x="117"/>
        <item x="411"/>
        <item x="190"/>
        <item x="304"/>
        <item x="282"/>
        <item x="619"/>
        <item x="193"/>
        <item x="29"/>
        <item x="515"/>
        <item x="467"/>
        <item x="270"/>
        <item x="611"/>
        <item x="248"/>
        <item x="362"/>
        <item x="107"/>
        <item x="558"/>
        <item x="291"/>
        <item x="378"/>
        <item x="550"/>
        <item x="68"/>
        <item x="366"/>
        <item x="178"/>
        <item x="180"/>
        <item x="465"/>
        <item x="389"/>
        <item x="297"/>
        <item x="347"/>
        <item x="434"/>
        <item x="521"/>
        <item x="79"/>
        <item x="59"/>
        <item x="598"/>
        <item x="346"/>
        <item x="10"/>
        <item x="647"/>
        <item x="168"/>
        <item x="171"/>
        <item x="384"/>
        <item x="12"/>
        <item x="63"/>
        <item x="565"/>
        <item x="439"/>
        <item x="167"/>
        <item x="333"/>
        <item x="237"/>
        <item x="615"/>
        <item x="476"/>
        <item x="631"/>
        <item x="458"/>
        <item x="192"/>
        <item x="532"/>
        <item x="633"/>
        <item x="462"/>
        <item x="316"/>
        <item x="602"/>
        <item x="323"/>
        <item x="597"/>
        <item x="501"/>
        <item x="603"/>
        <item x="503"/>
        <item x="578"/>
        <item x="502"/>
        <item x="475"/>
        <item x="206"/>
        <item x="583"/>
        <item x="452"/>
        <item x="593"/>
        <item x="385"/>
        <item x="525"/>
        <item x="188"/>
        <item x="189"/>
        <item x="472"/>
        <item x="337"/>
        <item x="546"/>
        <item x="338"/>
        <item x="311"/>
        <item x="622"/>
        <item x="61"/>
        <item x="490"/>
        <item x="354"/>
        <item x="477"/>
        <item x="229"/>
        <item x="387"/>
        <item x="25"/>
        <item x="409"/>
        <item x="547"/>
        <item x="213"/>
        <item x="537"/>
        <item x="374"/>
        <item x="412"/>
        <item x="653"/>
        <item t="default"/>
      </items>
    </pivotField>
    <pivotField dataField="1" showAll="0">
      <items count="523">
        <item x="10"/>
        <item x="188"/>
        <item x="259"/>
        <item x="120"/>
        <item x="418"/>
        <item x="196"/>
        <item x="112"/>
        <item x="480"/>
        <item x="217"/>
        <item x="512"/>
        <item x="25"/>
        <item x="354"/>
        <item x="214"/>
        <item x="38"/>
        <item x="154"/>
        <item x="2"/>
        <item x="73"/>
        <item x="385"/>
        <item x="93"/>
        <item x="24"/>
        <item x="42"/>
        <item x="27"/>
        <item x="113"/>
        <item x="239"/>
        <item x="215"/>
        <item x="213"/>
        <item x="70"/>
        <item x="448"/>
        <item x="137"/>
        <item x="184"/>
        <item x="85"/>
        <item x="115"/>
        <item x="108"/>
        <item x="12"/>
        <item x="406"/>
        <item x="109"/>
        <item x="11"/>
        <item x="89"/>
        <item x="322"/>
        <item x="37"/>
        <item x="229"/>
        <item x="107"/>
        <item x="118"/>
        <item x="236"/>
        <item x="75"/>
        <item x="50"/>
        <item x="488"/>
        <item x="515"/>
        <item x="401"/>
        <item x="198"/>
        <item x="355"/>
        <item x="138"/>
        <item x="382"/>
        <item x="101"/>
        <item x="129"/>
        <item x="57"/>
        <item x="340"/>
        <item x="324"/>
        <item x="216"/>
        <item x="394"/>
        <item x="26"/>
        <item x="14"/>
        <item x="516"/>
        <item x="8"/>
        <item x="330"/>
        <item x="69"/>
        <item x="266"/>
        <item x="363"/>
        <item x="143"/>
        <item x="193"/>
        <item x="312"/>
        <item x="170"/>
        <item x="29"/>
        <item x="517"/>
        <item x="90"/>
        <item x="506"/>
        <item x="94"/>
        <item x="374"/>
        <item x="403"/>
        <item x="64"/>
        <item x="52"/>
        <item x="284"/>
        <item x="20"/>
        <item x="419"/>
        <item x="392"/>
        <item x="91"/>
        <item x="455"/>
        <item x="331"/>
        <item x="110"/>
        <item x="269"/>
        <item x="16"/>
        <item x="4"/>
        <item x="7"/>
        <item x="103"/>
        <item x="270"/>
        <item x="271"/>
        <item x="100"/>
        <item x="167"/>
        <item x="237"/>
        <item x="299"/>
        <item x="168"/>
        <item x="95"/>
        <item x="301"/>
        <item x="153"/>
        <item x="244"/>
        <item x="33"/>
        <item x="185"/>
        <item x="487"/>
        <item x="66"/>
        <item x="405"/>
        <item x="1"/>
        <item x="255"/>
        <item x="298"/>
        <item x="44"/>
        <item x="420"/>
        <item x="65"/>
        <item x="267"/>
        <item x="339"/>
        <item x="9"/>
        <item x="41"/>
        <item x="174"/>
        <item x="391"/>
        <item x="163"/>
        <item x="19"/>
        <item x="151"/>
        <item x="311"/>
        <item x="314"/>
        <item x="353"/>
        <item x="102"/>
        <item x="310"/>
        <item x="169"/>
        <item x="92"/>
        <item x="157"/>
        <item x="404"/>
        <item x="145"/>
        <item x="490"/>
        <item x="152"/>
        <item x="192"/>
        <item x="159"/>
        <item x="234"/>
        <item x="484"/>
        <item x="205"/>
        <item x="285"/>
        <item x="135"/>
        <item x="513"/>
        <item x="15"/>
        <item x="497"/>
        <item x="251"/>
        <item x="175"/>
        <item x="486"/>
        <item x="477"/>
        <item x="194"/>
        <item x="365"/>
        <item x="53"/>
        <item x="54"/>
        <item x="350"/>
        <item x="68"/>
        <item x="268"/>
        <item x="278"/>
        <item x="58"/>
        <item x="410"/>
        <item x="202"/>
        <item x="117"/>
        <item x="111"/>
        <item x="491"/>
        <item x="105"/>
        <item x="481"/>
        <item x="435"/>
        <item x="519"/>
        <item x="63"/>
        <item x="345"/>
        <item x="373"/>
        <item x="347"/>
        <item x="296"/>
        <item x="224"/>
        <item x="78"/>
        <item x="190"/>
        <item x="206"/>
        <item x="207"/>
        <item x="40"/>
        <item x="98"/>
        <item x="489"/>
        <item x="293"/>
        <item x="329"/>
        <item x="294"/>
        <item x="209"/>
        <item x="21"/>
        <item x="478"/>
        <item x="453"/>
        <item x="362"/>
        <item x="458"/>
        <item x="313"/>
        <item x="173"/>
        <item x="200"/>
        <item x="130"/>
        <item x="431"/>
        <item x="61"/>
        <item x="106"/>
        <item x="252"/>
        <item x="247"/>
        <item x="402"/>
        <item x="36"/>
        <item x="122"/>
        <item x="443"/>
        <item x="131"/>
        <item x="449"/>
        <item x="411"/>
        <item x="35"/>
        <item x="210"/>
        <item x="333"/>
        <item x="302"/>
        <item x="171"/>
        <item x="60"/>
        <item x="134"/>
        <item x="327"/>
        <item x="356"/>
        <item x="116"/>
        <item x="6"/>
        <item x="104"/>
        <item x="277"/>
        <item x="461"/>
        <item x="289"/>
        <item x="315"/>
        <item x="479"/>
        <item x="34"/>
        <item x="316"/>
        <item x="223"/>
        <item x="472"/>
        <item x="442"/>
        <item x="212"/>
        <item x="179"/>
        <item x="23"/>
        <item x="250"/>
        <item x="156"/>
        <item x="43"/>
        <item x="197"/>
        <item x="56"/>
        <item x="62"/>
        <item x="348"/>
        <item x="309"/>
        <item x="160"/>
        <item x="161"/>
        <item x="80"/>
        <item x="166"/>
        <item x="495"/>
        <item x="349"/>
        <item x="211"/>
        <item x="393"/>
        <item x="352"/>
        <item x="300"/>
        <item x="383"/>
        <item x="28"/>
        <item x="413"/>
        <item x="121"/>
        <item x="49"/>
        <item x="201"/>
        <item x="263"/>
        <item x="440"/>
        <item x="77"/>
        <item x="372"/>
        <item x="370"/>
        <item x="178"/>
        <item x="76"/>
        <item x="233"/>
        <item x="297"/>
        <item x="176"/>
        <item x="86"/>
        <item x="380"/>
        <item x="32"/>
        <item x="378"/>
        <item x="164"/>
        <item x="47"/>
        <item x="388"/>
        <item x="276"/>
        <item x="425"/>
        <item x="454"/>
        <item x="55"/>
        <item x="222"/>
        <item x="189"/>
        <item x="437"/>
        <item x="422"/>
        <item x="384"/>
        <item x="407"/>
        <item x="279"/>
        <item x="463"/>
        <item x="307"/>
        <item x="133"/>
        <item x="249"/>
        <item x="218"/>
        <item x="439"/>
        <item x="387"/>
        <item x="395"/>
        <item x="367"/>
        <item x="45"/>
        <item x="460"/>
        <item x="261"/>
        <item x="466"/>
        <item x="500"/>
        <item x="318"/>
        <item x="257"/>
        <item x="371"/>
        <item x="155"/>
        <item x="447"/>
        <item x="445"/>
        <item x="240"/>
        <item x="358"/>
        <item x="246"/>
        <item x="366"/>
        <item x="280"/>
        <item x="361"/>
        <item x="465"/>
        <item x="288"/>
        <item x="158"/>
        <item x="125"/>
        <item x="292"/>
        <item x="470"/>
        <item x="242"/>
        <item x="149"/>
        <item x="150"/>
        <item x="264"/>
        <item x="426"/>
        <item x="126"/>
        <item x="74"/>
        <item x="444"/>
        <item x="231"/>
        <item x="369"/>
        <item x="417"/>
        <item x="228"/>
        <item x="180"/>
        <item x="306"/>
        <item x="364"/>
        <item x="317"/>
        <item x="430"/>
        <item x="389"/>
        <item x="83"/>
        <item x="428"/>
        <item x="139"/>
        <item x="172"/>
        <item x="187"/>
        <item x="0"/>
        <item x="344"/>
        <item x="256"/>
        <item x="390"/>
        <item x="398"/>
        <item x="181"/>
        <item x="325"/>
        <item x="397"/>
        <item x="368"/>
        <item x="238"/>
        <item x="5"/>
        <item x="235"/>
        <item x="114"/>
        <item x="195"/>
        <item x="183"/>
        <item x="346"/>
        <item x="219"/>
        <item x="505"/>
        <item x="186"/>
        <item x="59"/>
        <item x="254"/>
        <item x="494"/>
        <item x="81"/>
        <item x="265"/>
        <item x="342"/>
        <item x="48"/>
        <item x="17"/>
        <item x="498"/>
        <item x="504"/>
        <item x="492"/>
        <item x="82"/>
        <item x="203"/>
        <item x="248"/>
        <item x="379"/>
        <item x="245"/>
        <item x="51"/>
        <item x="408"/>
        <item x="220"/>
        <item x="400"/>
        <item x="97"/>
        <item x="128"/>
        <item x="291"/>
        <item x="452"/>
        <item x="275"/>
        <item x="262"/>
        <item x="320"/>
        <item x="283"/>
        <item x="328"/>
        <item x="474"/>
        <item x="415"/>
        <item x="351"/>
        <item x="321"/>
        <item x="308"/>
        <item x="462"/>
        <item x="304"/>
        <item x="99"/>
        <item x="493"/>
        <item x="381"/>
        <item x="502"/>
        <item x="335"/>
        <item x="3"/>
        <item x="127"/>
        <item x="485"/>
        <item x="258"/>
        <item x="274"/>
        <item x="334"/>
        <item x="13"/>
        <item x="147"/>
        <item x="357"/>
        <item x="337"/>
        <item x="451"/>
        <item x="165"/>
        <item x="136"/>
        <item x="434"/>
        <item x="424"/>
        <item x="399"/>
        <item x="177"/>
        <item x="332"/>
        <item x="482"/>
        <item x="507"/>
        <item x="290"/>
        <item x="446"/>
        <item x="46"/>
        <item x="22"/>
        <item x="499"/>
        <item x="416"/>
        <item x="441"/>
        <item x="338"/>
        <item x="208"/>
        <item x="31"/>
        <item x="319"/>
        <item x="39"/>
        <item x="359"/>
        <item x="503"/>
        <item x="432"/>
        <item x="483"/>
        <item x="260"/>
        <item x="132"/>
        <item x="282"/>
        <item x="71"/>
        <item x="509"/>
        <item x="323"/>
        <item x="518"/>
        <item x="124"/>
        <item x="182"/>
        <item x="341"/>
        <item x="414"/>
        <item x="303"/>
        <item x="67"/>
        <item x="225"/>
        <item x="471"/>
        <item x="243"/>
        <item x="148"/>
        <item x="96"/>
        <item x="468"/>
        <item x="412"/>
        <item x="450"/>
        <item x="232"/>
        <item x="501"/>
        <item x="253"/>
        <item x="286"/>
        <item x="386"/>
        <item x="230"/>
        <item x="457"/>
        <item x="427"/>
        <item x="496"/>
        <item x="464"/>
        <item x="140"/>
        <item x="326"/>
        <item x="396"/>
        <item x="469"/>
        <item x="409"/>
        <item x="142"/>
        <item x="199"/>
        <item x="476"/>
        <item x="227"/>
        <item x="226"/>
        <item x="204"/>
        <item x="510"/>
        <item x="241"/>
        <item x="514"/>
        <item x="429"/>
        <item x="287"/>
        <item x="272"/>
        <item x="295"/>
        <item x="377"/>
        <item x="375"/>
        <item x="88"/>
        <item x="423"/>
        <item x="123"/>
        <item x="456"/>
        <item x="360"/>
        <item x="421"/>
        <item x="146"/>
        <item x="520"/>
        <item x="467"/>
        <item x="475"/>
        <item x="221"/>
        <item x="508"/>
        <item x="343"/>
        <item x="459"/>
        <item x="79"/>
        <item x="473"/>
        <item x="305"/>
        <item x="141"/>
        <item x="87"/>
        <item x="84"/>
        <item x="433"/>
        <item x="119"/>
        <item x="18"/>
        <item x="191"/>
        <item x="30"/>
        <item x="436"/>
        <item x="72"/>
        <item x="144"/>
        <item x="162"/>
        <item x="273"/>
        <item x="281"/>
        <item x="511"/>
        <item x="438"/>
        <item x="376"/>
        <item x="336"/>
        <item x="521"/>
        <item t="default"/>
      </items>
    </pivotField>
    <pivotField showAll="0"/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8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Items count="1">
    <i/>
  </colItems>
  <dataFields count="1">
    <dataField name="Count of Viewership.Duration 2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B287F3-9396-4259-85CB-663B7813953E}" autoFormatId="16" applyNumberFormats="0" applyBorderFormats="0" applyFontFormats="0" applyPatternFormats="0" applyAlignmentFormats="0" applyWidthHeightFormats="0">
  <queryTableRefresh nextId="20">
    <queryTableFields count="18">
      <queryTableField id="1" name="UserID" tableColumnId="1"/>
      <queryTableField id="2" name="Name" tableColumnId="2"/>
      <queryTableField id="3" name="Surname" tableColumnId="3"/>
      <queryTableField id="4" name="Email" tableColumnId="4"/>
      <queryTableField id="5" name="Gender" tableColumnId="5"/>
      <queryTableField id="6" name="Race" tableColumnId="6"/>
      <queryTableField id="7" name="Age" tableColumnId="7"/>
      <queryTableField id="8" name="Province" tableColumnId="8"/>
      <queryTableField id="9" name="Social Media Handle" tableColumnId="9"/>
      <queryTableField id="10" name="Viewership.UserID" tableColumnId="10"/>
      <queryTableField id="11" name="Viewership.Channel2" tableColumnId="11"/>
      <queryTableField id="12" name="Viewership.RecordDate2" tableColumnId="12"/>
      <queryTableField id="18" dataBound="0" tableColumnId="18"/>
      <queryTableField id="19" dataBound="0" tableColumnId="19"/>
      <queryTableField id="13" name="Viewership date" tableColumnId="13"/>
      <queryTableField id="15" name="Viewership.Duration 2" tableColumnId="15"/>
      <queryTableField id="16" name="Viewership.userid2" tableColumnId="16"/>
      <queryTableField id="17" name="Column1" tableColumnId="17"/>
    </queryTableFields>
    <queryTableDeletedFields count="1">
      <deletedField name="Viewership ti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917C2-290A-4C8F-BD72-E8E12793EB7F}" name="BrightTV_JoinedTablesnw_2026_04_16_23_55_09" displayName="BrightTV_JoinedTablesnw_2026_04_16_23_55_09" ref="A1:R1001" tableType="queryTable" totalsRowShown="0">
  <autoFilter ref="A1:R1001" xr:uid="{054917C2-290A-4C8F-BD72-E8E12793EB7F}"/>
  <tableColumns count="18">
    <tableColumn id="1" xr3:uid="{2BC4D3D0-1C18-476E-B8B7-D73A3BB15F98}" uniqueName="1" name="UserID" queryTableFieldId="1"/>
    <tableColumn id="2" xr3:uid="{2DCBC7EB-59D5-4676-BF3F-2039672845A9}" uniqueName="2" name="Name" queryTableFieldId="2" dataDxfId="13"/>
    <tableColumn id="3" xr3:uid="{FBB33064-4B4A-4C44-92CA-BEE6F68A5556}" uniqueName="3" name="Surname" queryTableFieldId="3" dataDxfId="12"/>
    <tableColumn id="4" xr3:uid="{70BD94F1-355C-48C8-9FB4-D3EBC4A28457}" uniqueName="4" name="Email" queryTableFieldId="4" dataDxfId="11"/>
    <tableColumn id="5" xr3:uid="{85E79DCA-4400-4A85-847B-4972FE7C985A}" uniqueName="5" name="Gender" queryTableFieldId="5" dataDxfId="10"/>
    <tableColumn id="6" xr3:uid="{90A6A12F-BB63-4652-B2C7-89DC76E88EB7}" uniqueName="6" name="Race" queryTableFieldId="6" dataDxfId="9"/>
    <tableColumn id="7" xr3:uid="{166BD708-663B-4ED4-B3FD-CAEC181B3D2F}" uniqueName="7" name="Age" queryTableFieldId="7"/>
    <tableColumn id="8" xr3:uid="{56B3322A-0DD3-4909-8622-48CAA1025337}" uniqueName="8" name="Province" queryTableFieldId="8" dataDxfId="8"/>
    <tableColumn id="9" xr3:uid="{DDE79DC5-1912-4932-94BA-B2D3CBFF9F8A}" uniqueName="9" name="Social Media Handle" queryTableFieldId="9" dataDxfId="7"/>
    <tableColumn id="10" xr3:uid="{4D9F4046-0BEA-4BFF-A8A5-4E16C81EA108}" uniqueName="10" name="Viewership.UserID" queryTableFieldId="10"/>
    <tableColumn id="11" xr3:uid="{9AD72DFF-9CD8-496F-9ED1-4D53A0A505C9}" uniqueName="11" name="Viewership.Channel2" queryTableFieldId="11" dataDxfId="6"/>
    <tableColumn id="12" xr3:uid="{1BF8DE48-88F6-4C1B-9CBC-7C48A27878CD}" uniqueName="12" name="Viewership.RecordDate2" queryTableFieldId="12" dataDxfId="5"/>
    <tableColumn id="18" xr3:uid="{ADEABDBF-80C1-4DFE-9EB8-19468A521B94}" uniqueName="18" name="Viewership.RecordDate22" queryTableFieldId="18" dataDxfId="4"/>
    <tableColumn id="19" xr3:uid="{20966529-443C-414B-88D0-036B92CD6354}" uniqueName="19" name="Viewership.Date" queryTableFieldId="19" dataDxfId="3">
      <calculatedColumnFormula>INT(BrightTV_JoinedTablesnw_2026_04_16_23_55_09[[#This Row],[Viewership.RecordDate22]])</calculatedColumnFormula>
    </tableColumn>
    <tableColumn id="13" xr3:uid="{30FD9E08-A951-4CF4-905E-D1987941E3C8}" uniqueName="13" name="Viewership.Time" queryTableFieldId="13" dataDxfId="2"/>
    <tableColumn id="15" xr3:uid="{FF9654E0-6008-4EF4-9826-CB23BF91AAAC}" uniqueName="15" name="Viewership.Duration 2" queryTableFieldId="15" dataDxfId="1"/>
    <tableColumn id="16" xr3:uid="{CF8793C8-5310-4F8C-AB2F-C41D1015A5D0}" uniqueName="16" name="Viewership.userid2" queryTableFieldId="16"/>
    <tableColumn id="17" xr3:uid="{0E22CDFC-19BC-4C85-A28E-500ADB7B88CD}" uniqueName="17" name="Column1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9ECB-236E-48C0-A8CD-46BF184F5324}">
  <dimension ref="A1:F20"/>
  <sheetViews>
    <sheetView workbookViewId="0">
      <selection activeCell="B29" sqref="B29"/>
    </sheetView>
  </sheetViews>
  <sheetFormatPr defaultRowHeight="15" x14ac:dyDescent="0.25"/>
  <cols>
    <col min="1" max="1" width="24.7109375" bestFit="1" customWidth="1"/>
    <col min="2" max="2" width="31.7109375" bestFit="1" customWidth="1"/>
    <col min="5" max="5" width="14.28515625" customWidth="1"/>
    <col min="6" max="6" width="19.28515625" customWidth="1"/>
  </cols>
  <sheetData>
    <row r="1" spans="1:6" x14ac:dyDescent="0.25">
      <c r="A1" s="4" t="s">
        <v>1087</v>
      </c>
      <c r="B1" t="s">
        <v>1093</v>
      </c>
      <c r="E1" t="s">
        <v>1094</v>
      </c>
      <c r="F1" t="s">
        <v>12</v>
      </c>
    </row>
    <row r="2" spans="1:6" x14ac:dyDescent="0.25">
      <c r="A2" s="5" t="s">
        <v>129</v>
      </c>
      <c r="B2">
        <v>91</v>
      </c>
      <c r="E2" s="5" t="s">
        <v>47</v>
      </c>
      <c r="F2">
        <v>155</v>
      </c>
    </row>
    <row r="3" spans="1:6" x14ac:dyDescent="0.25">
      <c r="A3" s="5" t="s">
        <v>30</v>
      </c>
      <c r="B3">
        <v>87</v>
      </c>
      <c r="E3" s="5" t="s">
        <v>32</v>
      </c>
      <c r="F3">
        <v>154</v>
      </c>
    </row>
    <row r="4" spans="1:6" x14ac:dyDescent="0.25">
      <c r="A4" s="5" t="s">
        <v>69</v>
      </c>
      <c r="B4">
        <v>6</v>
      </c>
      <c r="E4" s="5" t="s">
        <v>77</v>
      </c>
      <c r="F4">
        <v>114</v>
      </c>
    </row>
    <row r="5" spans="1:6" x14ac:dyDescent="0.25">
      <c r="A5" s="5" t="s">
        <v>84</v>
      </c>
      <c r="B5">
        <v>85</v>
      </c>
      <c r="E5" s="5" t="s">
        <v>129</v>
      </c>
      <c r="F5">
        <v>91</v>
      </c>
    </row>
    <row r="6" spans="1:6" x14ac:dyDescent="0.25">
      <c r="A6" s="5" t="s">
        <v>32</v>
      </c>
      <c r="B6">
        <v>154</v>
      </c>
      <c r="E6" s="5" t="s">
        <v>54</v>
      </c>
      <c r="F6">
        <v>91</v>
      </c>
    </row>
    <row r="7" spans="1:6" x14ac:dyDescent="0.25">
      <c r="A7" s="5" t="s">
        <v>169</v>
      </c>
      <c r="B7">
        <v>39</v>
      </c>
      <c r="E7" s="5" t="s">
        <v>30</v>
      </c>
      <c r="F7">
        <v>87</v>
      </c>
    </row>
    <row r="8" spans="1:6" x14ac:dyDescent="0.25">
      <c r="A8" s="5" t="s">
        <v>186</v>
      </c>
      <c r="B8">
        <v>17</v>
      </c>
      <c r="E8" s="5" t="s">
        <v>84</v>
      </c>
      <c r="F8">
        <v>85</v>
      </c>
    </row>
    <row r="9" spans="1:6" x14ac:dyDescent="0.25">
      <c r="A9" s="5" t="s">
        <v>62</v>
      </c>
      <c r="B9">
        <v>27</v>
      </c>
      <c r="E9" s="5" t="s">
        <v>18</v>
      </c>
      <c r="F9">
        <v>83</v>
      </c>
    </row>
    <row r="10" spans="1:6" x14ac:dyDescent="0.25">
      <c r="A10" s="5" t="s">
        <v>18</v>
      </c>
      <c r="B10">
        <v>83</v>
      </c>
      <c r="E10" s="5" t="s">
        <v>169</v>
      </c>
      <c r="F10">
        <v>39</v>
      </c>
    </row>
    <row r="11" spans="1:6" x14ac:dyDescent="0.25">
      <c r="A11" s="5" t="s">
        <v>421</v>
      </c>
      <c r="B11">
        <v>4</v>
      </c>
      <c r="E11" s="5" t="s">
        <v>62</v>
      </c>
      <c r="F11">
        <v>27</v>
      </c>
    </row>
    <row r="12" spans="1:6" x14ac:dyDescent="0.25">
      <c r="A12" s="5" t="s">
        <v>1041</v>
      </c>
      <c r="B12">
        <v>1</v>
      </c>
      <c r="E12" s="5" t="s">
        <v>28</v>
      </c>
      <c r="F12">
        <v>22</v>
      </c>
    </row>
    <row r="13" spans="1:6" x14ac:dyDescent="0.25">
      <c r="A13" s="5" t="s">
        <v>480</v>
      </c>
      <c r="B13">
        <v>2</v>
      </c>
      <c r="E13" s="5" t="s">
        <v>186</v>
      </c>
      <c r="F13">
        <v>17</v>
      </c>
    </row>
    <row r="14" spans="1:6" x14ac:dyDescent="0.25">
      <c r="A14" s="5" t="s">
        <v>152</v>
      </c>
      <c r="B14">
        <v>14</v>
      </c>
      <c r="E14" s="5" t="s">
        <v>152</v>
      </c>
      <c r="F14">
        <v>14</v>
      </c>
    </row>
    <row r="15" spans="1:6" x14ac:dyDescent="0.25">
      <c r="A15" s="5" t="s">
        <v>28</v>
      </c>
      <c r="B15">
        <v>22</v>
      </c>
      <c r="E15" s="5" t="s">
        <v>496</v>
      </c>
      <c r="F15">
        <v>8</v>
      </c>
    </row>
    <row r="16" spans="1:6" x14ac:dyDescent="0.25">
      <c r="A16" s="5" t="s">
        <v>54</v>
      </c>
      <c r="B16">
        <v>91</v>
      </c>
      <c r="E16" s="5" t="s">
        <v>69</v>
      </c>
      <c r="F16">
        <v>6</v>
      </c>
    </row>
    <row r="17" spans="1:6" x14ac:dyDescent="0.25">
      <c r="A17" s="5" t="s">
        <v>47</v>
      </c>
      <c r="B17">
        <v>155</v>
      </c>
      <c r="E17" s="5" t="s">
        <v>421</v>
      </c>
      <c r="F17">
        <v>4</v>
      </c>
    </row>
    <row r="18" spans="1:6" x14ac:dyDescent="0.25">
      <c r="A18" s="5" t="s">
        <v>77</v>
      </c>
      <c r="B18">
        <v>114</v>
      </c>
      <c r="E18" s="5" t="s">
        <v>480</v>
      </c>
      <c r="F18">
        <v>2</v>
      </c>
    </row>
    <row r="19" spans="1:6" x14ac:dyDescent="0.25">
      <c r="A19" s="5" t="s">
        <v>496</v>
      </c>
      <c r="B19">
        <v>8</v>
      </c>
      <c r="E19" s="5" t="s">
        <v>1041</v>
      </c>
      <c r="F19">
        <v>1</v>
      </c>
    </row>
    <row r="20" spans="1:6" x14ac:dyDescent="0.25">
      <c r="A20" s="5" t="s">
        <v>1089</v>
      </c>
      <c r="B20">
        <v>1000</v>
      </c>
    </row>
  </sheetData>
  <autoFilter ref="E1:F20" xr:uid="{D7919ECB-236E-48C0-A8CD-46BF184F5324}">
    <sortState xmlns:xlrd2="http://schemas.microsoft.com/office/spreadsheetml/2017/richdata2" ref="E2:F20">
      <sortCondition descending="1" ref="F1:F20"/>
    </sortState>
  </autoFilter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3A1B-947C-4A0A-A4B7-8635C27FF837}">
  <dimension ref="A3:D27"/>
  <sheetViews>
    <sheetView workbookViewId="0">
      <selection activeCell="B35" sqref="B35"/>
    </sheetView>
  </sheetViews>
  <sheetFormatPr defaultRowHeight="15" x14ac:dyDescent="0.25"/>
  <cols>
    <col min="1" max="1" width="13.85546875" bestFit="1" customWidth="1"/>
    <col min="2" max="2" width="32.28515625" bestFit="1" customWidth="1"/>
    <col min="3" max="3" width="34.28515625" bestFit="1" customWidth="1"/>
    <col min="4" max="4" width="24.7109375" bestFit="1" customWidth="1"/>
  </cols>
  <sheetData>
    <row r="3" spans="1:4" x14ac:dyDescent="0.25">
      <c r="A3" s="4" t="s">
        <v>1087</v>
      </c>
      <c r="B3" t="s">
        <v>1090</v>
      </c>
      <c r="C3" t="s">
        <v>1091</v>
      </c>
      <c r="D3" t="s">
        <v>1092</v>
      </c>
    </row>
    <row r="4" spans="1:4" x14ac:dyDescent="0.25">
      <c r="A4" s="5" t="s">
        <v>26</v>
      </c>
      <c r="B4">
        <v>73</v>
      </c>
      <c r="C4">
        <v>73</v>
      </c>
      <c r="D4">
        <v>73</v>
      </c>
    </row>
    <row r="5" spans="1:4" x14ac:dyDescent="0.25">
      <c r="A5" s="5" t="s">
        <v>252</v>
      </c>
      <c r="B5">
        <v>38</v>
      </c>
      <c r="C5">
        <v>38</v>
      </c>
      <c r="D5">
        <v>38</v>
      </c>
    </row>
    <row r="6" spans="1:4" x14ac:dyDescent="0.25">
      <c r="A6" s="5" t="s">
        <v>40</v>
      </c>
      <c r="B6">
        <v>320</v>
      </c>
      <c r="C6">
        <v>320</v>
      </c>
      <c r="D6">
        <v>320</v>
      </c>
    </row>
    <row r="7" spans="1:4" x14ac:dyDescent="0.25">
      <c r="A7" s="5" t="s">
        <v>52</v>
      </c>
      <c r="B7">
        <v>91</v>
      </c>
      <c r="C7">
        <v>91</v>
      </c>
      <c r="D7">
        <v>91</v>
      </c>
    </row>
    <row r="8" spans="1:4" x14ac:dyDescent="0.25">
      <c r="A8" s="5" t="s">
        <v>138</v>
      </c>
      <c r="B8">
        <v>61</v>
      </c>
      <c r="C8">
        <v>61</v>
      </c>
      <c r="D8">
        <v>61</v>
      </c>
    </row>
    <row r="9" spans="1:4" x14ac:dyDescent="0.25">
      <c r="A9" s="5" t="s">
        <v>75</v>
      </c>
      <c r="B9">
        <v>59</v>
      </c>
      <c r="C9">
        <v>59</v>
      </c>
      <c r="D9">
        <v>59</v>
      </c>
    </row>
    <row r="10" spans="1:4" x14ac:dyDescent="0.25">
      <c r="A10" s="5" t="s">
        <v>16</v>
      </c>
      <c r="B10">
        <v>30</v>
      </c>
      <c r="C10">
        <v>30</v>
      </c>
      <c r="D10">
        <v>30</v>
      </c>
    </row>
    <row r="11" spans="1:4" x14ac:dyDescent="0.25">
      <c r="A11" s="5" t="s">
        <v>280</v>
      </c>
      <c r="B11">
        <v>51</v>
      </c>
      <c r="C11">
        <v>51</v>
      </c>
      <c r="D11">
        <v>51</v>
      </c>
    </row>
    <row r="12" spans="1:4" x14ac:dyDescent="0.25">
      <c r="A12" s="5" t="s">
        <v>173</v>
      </c>
      <c r="B12">
        <v>32</v>
      </c>
      <c r="C12">
        <v>32</v>
      </c>
      <c r="D12">
        <v>32</v>
      </c>
    </row>
    <row r="13" spans="1:4" x14ac:dyDescent="0.25">
      <c r="A13" s="5" t="s">
        <v>60</v>
      </c>
      <c r="B13">
        <v>245</v>
      </c>
      <c r="C13">
        <v>245</v>
      </c>
      <c r="D13">
        <v>245</v>
      </c>
    </row>
    <row r="14" spans="1:4" x14ac:dyDescent="0.25">
      <c r="A14" s="5" t="s">
        <v>1088</v>
      </c>
      <c r="B14">
        <v>1</v>
      </c>
      <c r="C14">
        <v>1</v>
      </c>
    </row>
    <row r="15" spans="1:4" x14ac:dyDescent="0.25">
      <c r="A15" s="5" t="s">
        <v>1089</v>
      </c>
      <c r="B15">
        <v>1001</v>
      </c>
      <c r="C15">
        <v>1001</v>
      </c>
      <c r="D15">
        <v>1000</v>
      </c>
    </row>
    <row r="16" spans="1:4" x14ac:dyDescent="0.25">
      <c r="A16" s="5" t="s">
        <v>7</v>
      </c>
      <c r="B16" t="s">
        <v>1095</v>
      </c>
    </row>
    <row r="17" spans="1:2" x14ac:dyDescent="0.25">
      <c r="A17" s="5" t="s">
        <v>26</v>
      </c>
      <c r="B17">
        <v>73</v>
      </c>
    </row>
    <row r="18" spans="1:2" x14ac:dyDescent="0.25">
      <c r="A18" s="5" t="s">
        <v>252</v>
      </c>
      <c r="B18">
        <v>38</v>
      </c>
    </row>
    <row r="19" spans="1:2" x14ac:dyDescent="0.25">
      <c r="A19" s="5" t="s">
        <v>40</v>
      </c>
      <c r="B19">
        <v>320</v>
      </c>
    </row>
    <row r="20" spans="1:2" x14ac:dyDescent="0.25">
      <c r="A20" s="5" t="s">
        <v>52</v>
      </c>
      <c r="B20">
        <v>91</v>
      </c>
    </row>
    <row r="21" spans="1:2" x14ac:dyDescent="0.25">
      <c r="A21" s="5" t="s">
        <v>138</v>
      </c>
      <c r="B21">
        <v>61</v>
      </c>
    </row>
    <row r="22" spans="1:2" x14ac:dyDescent="0.25">
      <c r="A22" s="5" t="s">
        <v>75</v>
      </c>
      <c r="B22">
        <v>59</v>
      </c>
    </row>
    <row r="23" spans="1:2" x14ac:dyDescent="0.25">
      <c r="A23" s="5" t="s">
        <v>16</v>
      </c>
      <c r="B23">
        <v>30</v>
      </c>
    </row>
    <row r="24" spans="1:2" x14ac:dyDescent="0.25">
      <c r="A24" s="5" t="s">
        <v>280</v>
      </c>
      <c r="B24">
        <v>51</v>
      </c>
    </row>
    <row r="25" spans="1:2" x14ac:dyDescent="0.25">
      <c r="A25" s="5" t="s">
        <v>173</v>
      </c>
      <c r="B25">
        <v>32</v>
      </c>
    </row>
    <row r="26" spans="1:2" x14ac:dyDescent="0.25">
      <c r="A26" s="5" t="s">
        <v>60</v>
      </c>
      <c r="B26">
        <v>245</v>
      </c>
    </row>
    <row r="27" spans="1:2" x14ac:dyDescent="0.25">
      <c r="A27" s="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8FD8-D8B1-4249-9025-137F094E9453}">
  <dimension ref="A3:B7"/>
  <sheetViews>
    <sheetView workbookViewId="0">
      <selection activeCell="A6" sqref="A6"/>
    </sheetView>
  </sheetViews>
  <sheetFormatPr defaultRowHeight="15" x14ac:dyDescent="0.25"/>
  <cols>
    <col min="1" max="1" width="13.42578125" bestFit="1" customWidth="1"/>
    <col min="2" max="2" width="24.7109375" bestFit="1" customWidth="1"/>
  </cols>
  <sheetData>
    <row r="3" spans="1:2" x14ac:dyDescent="0.25">
      <c r="A3" s="4" t="s">
        <v>1087</v>
      </c>
      <c r="B3" t="s">
        <v>1092</v>
      </c>
    </row>
    <row r="4" spans="1:2" x14ac:dyDescent="0.25">
      <c r="A4" s="5" t="s">
        <v>24</v>
      </c>
      <c r="B4">
        <v>133</v>
      </c>
    </row>
    <row r="5" spans="1:2" x14ac:dyDescent="0.25">
      <c r="A5" s="5" t="s">
        <v>38</v>
      </c>
      <c r="B5">
        <v>837</v>
      </c>
    </row>
    <row r="6" spans="1:2" x14ac:dyDescent="0.25">
      <c r="A6" s="5" t="s">
        <v>16</v>
      </c>
      <c r="B6">
        <v>30</v>
      </c>
    </row>
    <row r="7" spans="1:2" x14ac:dyDescent="0.25">
      <c r="A7" s="5" t="s">
        <v>1089</v>
      </c>
      <c r="B7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58C61-02FD-49B2-B314-8E65CD392702}">
  <dimension ref="A3:B7"/>
  <sheetViews>
    <sheetView workbookViewId="0">
      <selection activeCell="B27" sqref="B27"/>
    </sheetView>
  </sheetViews>
  <sheetFormatPr defaultRowHeight="15" x14ac:dyDescent="0.25"/>
  <cols>
    <col min="1" max="1" width="13.42578125" bestFit="1" customWidth="1"/>
    <col min="2" max="3" width="24.7109375" bestFit="1" customWidth="1"/>
  </cols>
  <sheetData>
    <row r="3" spans="1:2" x14ac:dyDescent="0.25">
      <c r="A3" s="4" t="s">
        <v>1087</v>
      </c>
      <c r="B3" t="s">
        <v>1092</v>
      </c>
    </row>
    <row r="4" spans="1:2" x14ac:dyDescent="0.25">
      <c r="A4" s="5" t="s">
        <v>24</v>
      </c>
      <c r="B4">
        <v>133</v>
      </c>
    </row>
    <row r="5" spans="1:2" x14ac:dyDescent="0.25">
      <c r="A5" s="5" t="s">
        <v>38</v>
      </c>
      <c r="B5">
        <v>837</v>
      </c>
    </row>
    <row r="6" spans="1:2" x14ac:dyDescent="0.25">
      <c r="A6" s="5" t="s">
        <v>16</v>
      </c>
      <c r="B6">
        <v>30</v>
      </c>
    </row>
    <row r="7" spans="1:2" x14ac:dyDescent="0.25">
      <c r="A7" s="5" t="s">
        <v>1089</v>
      </c>
      <c r="B7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3E98-10C7-4383-9163-6469AA9788F1}">
  <dimension ref="A3:B9"/>
  <sheetViews>
    <sheetView tabSelected="1" workbookViewId="0">
      <selection activeCell="A3" sqref="A3:B8"/>
    </sheetView>
  </sheetViews>
  <sheetFormatPr defaultRowHeight="15" x14ac:dyDescent="0.25"/>
  <cols>
    <col min="1" max="1" width="13.42578125" bestFit="1" customWidth="1"/>
    <col min="2" max="2" width="24.7109375" bestFit="1" customWidth="1"/>
  </cols>
  <sheetData>
    <row r="3" spans="1:2" x14ac:dyDescent="0.25">
      <c r="A3" s="4" t="s">
        <v>1101</v>
      </c>
      <c r="B3" t="s">
        <v>1092</v>
      </c>
    </row>
    <row r="4" spans="1:2" x14ac:dyDescent="0.25">
      <c r="A4" s="5" t="s">
        <v>1096</v>
      </c>
      <c r="B4">
        <v>61</v>
      </c>
    </row>
    <row r="5" spans="1:2" x14ac:dyDescent="0.25">
      <c r="A5" s="5" t="s">
        <v>1097</v>
      </c>
      <c r="B5">
        <v>402</v>
      </c>
    </row>
    <row r="6" spans="1:2" x14ac:dyDescent="0.25">
      <c r="A6" s="5" t="s">
        <v>1098</v>
      </c>
      <c r="B6">
        <v>435</v>
      </c>
    </row>
    <row r="7" spans="1:2" x14ac:dyDescent="0.25">
      <c r="A7" s="5" t="s">
        <v>1099</v>
      </c>
      <c r="B7">
        <v>94</v>
      </c>
    </row>
    <row r="8" spans="1:2" x14ac:dyDescent="0.25">
      <c r="A8" s="5" t="s">
        <v>1100</v>
      </c>
      <c r="B8">
        <v>8</v>
      </c>
    </row>
    <row r="9" spans="1:2" x14ac:dyDescent="0.25">
      <c r="A9" s="5" t="s">
        <v>1089</v>
      </c>
      <c r="B9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C3C0-3A1D-468B-BC13-06A998CD58E7}">
  <dimension ref="A3:I658"/>
  <sheetViews>
    <sheetView workbookViewId="0">
      <selection activeCell="G6" sqref="G6:I17"/>
    </sheetView>
  </sheetViews>
  <sheetFormatPr defaultRowHeight="15" x14ac:dyDescent="0.25"/>
  <cols>
    <col min="1" max="1" width="32.28515625" bestFit="1" customWidth="1"/>
    <col min="2" max="2" width="16.85546875" bestFit="1" customWidth="1"/>
    <col min="3" max="3" width="5.42578125" bestFit="1" customWidth="1"/>
    <col min="4" max="4" width="5.85546875" customWidth="1"/>
    <col min="5" max="5" width="11.28515625" customWidth="1"/>
    <col min="6" max="6" width="0.140625" customWidth="1"/>
  </cols>
  <sheetData>
    <row r="3" spans="1:9" x14ac:dyDescent="0.25">
      <c r="A3" s="4" t="s">
        <v>1090</v>
      </c>
      <c r="B3" s="4" t="s">
        <v>1103</v>
      </c>
    </row>
    <row r="4" spans="1:9" x14ac:dyDescent="0.25">
      <c r="A4" s="4" t="s">
        <v>1087</v>
      </c>
      <c r="B4" t="s">
        <v>24</v>
      </c>
      <c r="C4" t="s">
        <v>38</v>
      </c>
      <c r="D4" t="s">
        <v>16</v>
      </c>
      <c r="E4" t="s">
        <v>1089</v>
      </c>
    </row>
    <row r="5" spans="1:9" x14ac:dyDescent="0.25">
      <c r="A5" s="6">
        <v>0</v>
      </c>
      <c r="C5">
        <v>1</v>
      </c>
      <c r="E5">
        <v>1</v>
      </c>
      <c r="G5" t="s">
        <v>1104</v>
      </c>
      <c r="H5" t="s">
        <v>1105</v>
      </c>
      <c r="I5" t="s">
        <v>1106</v>
      </c>
    </row>
    <row r="6" spans="1:9" x14ac:dyDescent="0.25">
      <c r="A6" s="6">
        <v>1.3888888888888889E-3</v>
      </c>
      <c r="C6">
        <v>1</v>
      </c>
      <c r="E6">
        <v>1</v>
      </c>
      <c r="G6" t="s">
        <v>16</v>
      </c>
      <c r="H6" t="s">
        <v>1107</v>
      </c>
      <c r="I6">
        <v>3</v>
      </c>
    </row>
    <row r="7" spans="1:9" x14ac:dyDescent="0.25">
      <c r="A7" s="6">
        <v>2.0833333333333333E-3</v>
      </c>
      <c r="C7">
        <v>1</v>
      </c>
      <c r="E7">
        <v>1</v>
      </c>
      <c r="G7" t="s">
        <v>16</v>
      </c>
      <c r="H7" t="s">
        <v>1108</v>
      </c>
      <c r="I7">
        <v>4</v>
      </c>
    </row>
    <row r="8" spans="1:9" x14ac:dyDescent="0.25">
      <c r="A8" s="6">
        <v>2.7777777777777779E-3</v>
      </c>
      <c r="B8">
        <v>1</v>
      </c>
      <c r="C8">
        <v>2</v>
      </c>
      <c r="E8">
        <v>3</v>
      </c>
      <c r="G8" t="s">
        <v>16</v>
      </c>
      <c r="H8" t="s">
        <v>1109</v>
      </c>
      <c r="I8">
        <v>10</v>
      </c>
    </row>
    <row r="9" spans="1:9" x14ac:dyDescent="0.25">
      <c r="A9" s="6">
        <v>4.1666666666666666E-3</v>
      </c>
      <c r="C9">
        <v>1</v>
      </c>
      <c r="E9">
        <v>1</v>
      </c>
      <c r="G9" t="s">
        <v>16</v>
      </c>
      <c r="H9" t="s">
        <v>1110</v>
      </c>
      <c r="I9">
        <v>13</v>
      </c>
    </row>
    <row r="10" spans="1:9" x14ac:dyDescent="0.25">
      <c r="A10" s="6">
        <v>1.1111111111111112E-2</v>
      </c>
      <c r="C10">
        <v>1</v>
      </c>
      <c r="E10">
        <v>1</v>
      </c>
      <c r="G10" t="s">
        <v>24</v>
      </c>
      <c r="H10" t="s">
        <v>1108</v>
      </c>
      <c r="I10">
        <v>18</v>
      </c>
    </row>
    <row r="11" spans="1:9" x14ac:dyDescent="0.25">
      <c r="A11" s="6">
        <v>1.3194444444444444E-2</v>
      </c>
      <c r="C11">
        <v>1</v>
      </c>
      <c r="E11">
        <v>1</v>
      </c>
      <c r="G11" t="s">
        <v>24</v>
      </c>
      <c r="H11" t="s">
        <v>1107</v>
      </c>
      <c r="I11">
        <v>30</v>
      </c>
    </row>
    <row r="12" spans="1:9" x14ac:dyDescent="0.25">
      <c r="A12" s="6">
        <v>2.7777777777777776E-2</v>
      </c>
      <c r="C12">
        <v>1</v>
      </c>
      <c r="E12">
        <v>1</v>
      </c>
      <c r="G12" t="s">
        <v>24</v>
      </c>
      <c r="H12" t="s">
        <v>1110</v>
      </c>
      <c r="I12">
        <v>31</v>
      </c>
    </row>
    <row r="13" spans="1:9" x14ac:dyDescent="0.25">
      <c r="A13" s="6">
        <v>3.2638888888888891E-2</v>
      </c>
      <c r="C13">
        <v>1</v>
      </c>
      <c r="E13">
        <v>1</v>
      </c>
      <c r="G13" t="s">
        <v>24</v>
      </c>
      <c r="H13" t="s">
        <v>1109</v>
      </c>
      <c r="I13">
        <v>54</v>
      </c>
    </row>
    <row r="14" spans="1:9" x14ac:dyDescent="0.25">
      <c r="A14" s="6">
        <v>3.3333333333333333E-2</v>
      </c>
      <c r="C14">
        <v>1</v>
      </c>
      <c r="E14">
        <v>1</v>
      </c>
      <c r="G14" t="s">
        <v>38</v>
      </c>
      <c r="H14" t="s">
        <v>1108</v>
      </c>
      <c r="I14">
        <v>84</v>
      </c>
    </row>
    <row r="15" spans="1:9" x14ac:dyDescent="0.25">
      <c r="A15" s="6">
        <v>3.8194444444444448E-2</v>
      </c>
      <c r="C15">
        <v>1</v>
      </c>
      <c r="E15">
        <v>1</v>
      </c>
      <c r="G15" t="s">
        <v>38</v>
      </c>
      <c r="H15" t="s">
        <v>1107</v>
      </c>
      <c r="I15">
        <v>218</v>
      </c>
    </row>
    <row r="16" spans="1:9" x14ac:dyDescent="0.25">
      <c r="A16" s="6">
        <v>4.027777777777778E-2</v>
      </c>
      <c r="C16">
        <v>1</v>
      </c>
      <c r="E16">
        <v>1</v>
      </c>
      <c r="G16" t="s">
        <v>38</v>
      </c>
      <c r="H16" t="s">
        <v>1110</v>
      </c>
      <c r="I16">
        <v>230</v>
      </c>
    </row>
    <row r="17" spans="1:9" x14ac:dyDescent="0.25">
      <c r="A17" s="6">
        <v>4.1666666666666664E-2</v>
      </c>
      <c r="B17">
        <v>1</v>
      </c>
      <c r="E17">
        <v>1</v>
      </c>
      <c r="G17" t="s">
        <v>38</v>
      </c>
      <c r="H17" t="s">
        <v>1109</v>
      </c>
      <c r="I17">
        <v>305</v>
      </c>
    </row>
    <row r="18" spans="1:9" x14ac:dyDescent="0.25">
      <c r="A18" s="6">
        <v>4.2361111111111113E-2</v>
      </c>
      <c r="B18">
        <v>1</v>
      </c>
      <c r="C18">
        <v>1</v>
      </c>
      <c r="E18">
        <v>2</v>
      </c>
    </row>
    <row r="19" spans="1:9" x14ac:dyDescent="0.25">
      <c r="A19" s="6">
        <v>4.3055555555555555E-2</v>
      </c>
      <c r="C19">
        <v>1</v>
      </c>
      <c r="E19">
        <v>1</v>
      </c>
    </row>
    <row r="20" spans="1:9" x14ac:dyDescent="0.25">
      <c r="A20" s="6">
        <v>4.3749999999999997E-2</v>
      </c>
      <c r="C20">
        <v>2</v>
      </c>
      <c r="E20">
        <v>2</v>
      </c>
    </row>
    <row r="21" spans="1:9" x14ac:dyDescent="0.25">
      <c r="A21" s="6">
        <v>4.791666666666667E-2</v>
      </c>
      <c r="C21">
        <v>3</v>
      </c>
      <c r="E21">
        <v>3</v>
      </c>
    </row>
    <row r="22" spans="1:9" x14ac:dyDescent="0.25">
      <c r="A22" s="6">
        <v>5.6944444444444443E-2</v>
      </c>
      <c r="C22">
        <v>1</v>
      </c>
      <c r="E22">
        <v>1</v>
      </c>
    </row>
    <row r="23" spans="1:9" x14ac:dyDescent="0.25">
      <c r="A23" s="6">
        <v>6.1805555555555558E-2</v>
      </c>
      <c r="C23">
        <v>1</v>
      </c>
      <c r="E23">
        <v>1</v>
      </c>
    </row>
    <row r="24" spans="1:9" x14ac:dyDescent="0.25">
      <c r="A24" s="6">
        <v>7.7083333333333337E-2</v>
      </c>
      <c r="C24">
        <v>1</v>
      </c>
      <c r="E24">
        <v>1</v>
      </c>
    </row>
    <row r="25" spans="1:9" x14ac:dyDescent="0.25">
      <c r="A25" s="6">
        <v>7.9166666666666663E-2</v>
      </c>
      <c r="C25">
        <v>1</v>
      </c>
      <c r="E25">
        <v>1</v>
      </c>
    </row>
    <row r="26" spans="1:9" x14ac:dyDescent="0.25">
      <c r="A26" s="6">
        <v>8.1944444444444445E-2</v>
      </c>
      <c r="C26">
        <v>1</v>
      </c>
      <c r="E26">
        <v>1</v>
      </c>
    </row>
    <row r="27" spans="1:9" x14ac:dyDescent="0.25">
      <c r="A27" s="6">
        <v>8.3333333333333329E-2</v>
      </c>
      <c r="C27">
        <v>1</v>
      </c>
      <c r="E27">
        <v>1</v>
      </c>
    </row>
    <row r="28" spans="1:9" x14ac:dyDescent="0.25">
      <c r="A28" s="6">
        <v>8.5416666666666669E-2</v>
      </c>
      <c r="C28">
        <v>1</v>
      </c>
      <c r="E28">
        <v>1</v>
      </c>
    </row>
    <row r="29" spans="1:9" x14ac:dyDescent="0.25">
      <c r="A29" s="6">
        <v>9.375E-2</v>
      </c>
      <c r="C29">
        <v>1</v>
      </c>
      <c r="E29">
        <v>1</v>
      </c>
    </row>
    <row r="30" spans="1:9" x14ac:dyDescent="0.25">
      <c r="A30" s="6">
        <v>0.1</v>
      </c>
      <c r="C30">
        <v>1</v>
      </c>
      <c r="E30">
        <v>1</v>
      </c>
    </row>
    <row r="31" spans="1:9" x14ac:dyDescent="0.25">
      <c r="A31" s="6">
        <v>0.10416666666666667</v>
      </c>
      <c r="C31">
        <v>1</v>
      </c>
      <c r="E31">
        <v>1</v>
      </c>
    </row>
    <row r="32" spans="1:9" x14ac:dyDescent="0.25">
      <c r="A32" s="6">
        <v>0.10625</v>
      </c>
      <c r="C32">
        <v>1</v>
      </c>
      <c r="E32">
        <v>1</v>
      </c>
    </row>
    <row r="33" spans="1:5" x14ac:dyDescent="0.25">
      <c r="A33" s="6">
        <v>0.10833333333333334</v>
      </c>
      <c r="B33">
        <v>1</v>
      </c>
      <c r="E33">
        <v>1</v>
      </c>
    </row>
    <row r="34" spans="1:5" x14ac:dyDescent="0.25">
      <c r="A34" s="6">
        <v>0.10972222222222222</v>
      </c>
      <c r="B34">
        <v>1</v>
      </c>
      <c r="E34">
        <v>1</v>
      </c>
    </row>
    <row r="35" spans="1:5" x14ac:dyDescent="0.25">
      <c r="A35" s="6">
        <v>0.11458333333333333</v>
      </c>
      <c r="C35">
        <v>1</v>
      </c>
      <c r="E35">
        <v>1</v>
      </c>
    </row>
    <row r="36" spans="1:5" x14ac:dyDescent="0.25">
      <c r="A36" s="6">
        <v>0.11527777777777778</v>
      </c>
      <c r="C36">
        <v>1</v>
      </c>
      <c r="E36">
        <v>1</v>
      </c>
    </row>
    <row r="37" spans="1:5" x14ac:dyDescent="0.25">
      <c r="A37" s="6">
        <v>0.11805555555555555</v>
      </c>
      <c r="C37">
        <v>1</v>
      </c>
      <c r="E37">
        <v>1</v>
      </c>
    </row>
    <row r="38" spans="1:5" x14ac:dyDescent="0.25">
      <c r="A38" s="6">
        <v>0.12847222222222221</v>
      </c>
      <c r="B38">
        <v>1</v>
      </c>
      <c r="E38">
        <v>1</v>
      </c>
    </row>
    <row r="39" spans="1:5" x14ac:dyDescent="0.25">
      <c r="A39" s="6">
        <v>0.13541666666666666</v>
      </c>
      <c r="B39">
        <v>1</v>
      </c>
      <c r="E39">
        <v>1</v>
      </c>
    </row>
    <row r="40" spans="1:5" x14ac:dyDescent="0.25">
      <c r="A40" s="6">
        <v>0.13750000000000001</v>
      </c>
      <c r="C40">
        <v>1</v>
      </c>
      <c r="E40">
        <v>1</v>
      </c>
    </row>
    <row r="41" spans="1:5" x14ac:dyDescent="0.25">
      <c r="A41" s="6">
        <v>0.14652777777777778</v>
      </c>
      <c r="C41">
        <v>2</v>
      </c>
      <c r="E41">
        <v>2</v>
      </c>
    </row>
    <row r="42" spans="1:5" x14ac:dyDescent="0.25">
      <c r="A42" s="6">
        <v>0.16041666666666668</v>
      </c>
      <c r="C42">
        <v>1</v>
      </c>
      <c r="E42">
        <v>1</v>
      </c>
    </row>
    <row r="43" spans="1:5" x14ac:dyDescent="0.25">
      <c r="A43" s="6">
        <v>0.16250000000000001</v>
      </c>
      <c r="D43">
        <v>1</v>
      </c>
      <c r="E43">
        <v>1</v>
      </c>
    </row>
    <row r="44" spans="1:5" x14ac:dyDescent="0.25">
      <c r="A44" s="6">
        <v>0.16875000000000001</v>
      </c>
      <c r="C44">
        <v>1</v>
      </c>
      <c r="E44">
        <v>1</v>
      </c>
    </row>
    <row r="45" spans="1:5" x14ac:dyDescent="0.25">
      <c r="A45" s="6">
        <v>0.18611111111111112</v>
      </c>
      <c r="C45">
        <v>2</v>
      </c>
      <c r="E45">
        <v>2</v>
      </c>
    </row>
    <row r="46" spans="1:5" x14ac:dyDescent="0.25">
      <c r="A46" s="6">
        <v>0.19236111111111112</v>
      </c>
      <c r="C46">
        <v>1</v>
      </c>
      <c r="E46">
        <v>1</v>
      </c>
    </row>
    <row r="47" spans="1:5" x14ac:dyDescent="0.25">
      <c r="A47" s="6">
        <v>0.2076388888888889</v>
      </c>
      <c r="C47">
        <v>1</v>
      </c>
      <c r="E47">
        <v>1</v>
      </c>
    </row>
    <row r="48" spans="1:5" x14ac:dyDescent="0.25">
      <c r="A48" s="6">
        <v>0.21249999999999999</v>
      </c>
      <c r="C48">
        <v>1</v>
      </c>
      <c r="E48">
        <v>1</v>
      </c>
    </row>
    <row r="49" spans="1:5" x14ac:dyDescent="0.25">
      <c r="A49" s="6">
        <v>0.21805555555555556</v>
      </c>
      <c r="C49">
        <v>1</v>
      </c>
      <c r="E49">
        <v>1</v>
      </c>
    </row>
    <row r="50" spans="1:5" x14ac:dyDescent="0.25">
      <c r="A50" s="6">
        <v>0.21944444444444444</v>
      </c>
      <c r="C50">
        <v>1</v>
      </c>
      <c r="E50">
        <v>1</v>
      </c>
    </row>
    <row r="51" spans="1:5" x14ac:dyDescent="0.25">
      <c r="A51" s="6">
        <v>0.22291666666666668</v>
      </c>
      <c r="C51">
        <v>1</v>
      </c>
      <c r="E51">
        <v>1</v>
      </c>
    </row>
    <row r="52" spans="1:5" x14ac:dyDescent="0.25">
      <c r="A52" s="6">
        <v>0.22638888888888889</v>
      </c>
      <c r="B52">
        <v>1</v>
      </c>
      <c r="E52">
        <v>1</v>
      </c>
    </row>
    <row r="53" spans="1:5" x14ac:dyDescent="0.25">
      <c r="A53" s="6">
        <v>0.22777777777777777</v>
      </c>
      <c r="C53">
        <v>1</v>
      </c>
      <c r="E53">
        <v>1</v>
      </c>
    </row>
    <row r="54" spans="1:5" x14ac:dyDescent="0.25">
      <c r="A54" s="6">
        <v>0.23680555555555555</v>
      </c>
      <c r="B54">
        <v>1</v>
      </c>
      <c r="E54">
        <v>1</v>
      </c>
    </row>
    <row r="55" spans="1:5" x14ac:dyDescent="0.25">
      <c r="A55" s="6">
        <v>0.2388888888888889</v>
      </c>
      <c r="C55">
        <v>1</v>
      </c>
      <c r="E55">
        <v>1</v>
      </c>
    </row>
    <row r="56" spans="1:5" x14ac:dyDescent="0.25">
      <c r="A56" s="6">
        <v>0.24097222222222223</v>
      </c>
      <c r="C56">
        <v>1</v>
      </c>
      <c r="E56">
        <v>1</v>
      </c>
    </row>
    <row r="57" spans="1:5" x14ac:dyDescent="0.25">
      <c r="A57" s="6">
        <v>0.24166666666666667</v>
      </c>
      <c r="C57">
        <v>1</v>
      </c>
      <c r="E57">
        <v>1</v>
      </c>
    </row>
    <row r="58" spans="1:5" x14ac:dyDescent="0.25">
      <c r="A58" s="6">
        <v>0.24374999999999999</v>
      </c>
      <c r="C58">
        <v>1</v>
      </c>
      <c r="E58">
        <v>1</v>
      </c>
    </row>
    <row r="59" spans="1:5" x14ac:dyDescent="0.25">
      <c r="A59" s="6">
        <v>0.24583333333333332</v>
      </c>
      <c r="C59">
        <v>1</v>
      </c>
      <c r="E59">
        <v>1</v>
      </c>
    </row>
    <row r="60" spans="1:5" x14ac:dyDescent="0.25">
      <c r="A60" s="6">
        <v>0.25416666666666665</v>
      </c>
      <c r="C60">
        <v>1</v>
      </c>
      <c r="E60">
        <v>1</v>
      </c>
    </row>
    <row r="61" spans="1:5" x14ac:dyDescent="0.25">
      <c r="A61" s="6">
        <v>0.25694444444444442</v>
      </c>
      <c r="C61">
        <v>1</v>
      </c>
      <c r="E61">
        <v>1</v>
      </c>
    </row>
    <row r="62" spans="1:5" x14ac:dyDescent="0.25">
      <c r="A62" s="6">
        <v>0.25763888888888886</v>
      </c>
      <c r="C62">
        <v>1</v>
      </c>
      <c r="E62">
        <v>1</v>
      </c>
    </row>
    <row r="63" spans="1:5" x14ac:dyDescent="0.25">
      <c r="A63" s="6">
        <v>0.25972222222222224</v>
      </c>
      <c r="C63">
        <v>2</v>
      </c>
      <c r="E63">
        <v>2</v>
      </c>
    </row>
    <row r="64" spans="1:5" x14ac:dyDescent="0.25">
      <c r="A64" s="6">
        <v>0.26041666666666669</v>
      </c>
      <c r="C64">
        <v>1</v>
      </c>
      <c r="E64">
        <v>1</v>
      </c>
    </row>
    <row r="65" spans="1:5" x14ac:dyDescent="0.25">
      <c r="A65" s="6">
        <v>0.26111111111111113</v>
      </c>
      <c r="B65">
        <v>1</v>
      </c>
      <c r="E65">
        <v>1</v>
      </c>
    </row>
    <row r="66" spans="1:5" x14ac:dyDescent="0.25">
      <c r="A66" s="6">
        <v>0.2638888888888889</v>
      </c>
      <c r="C66">
        <v>1</v>
      </c>
      <c r="E66">
        <v>1</v>
      </c>
    </row>
    <row r="67" spans="1:5" x14ac:dyDescent="0.25">
      <c r="A67" s="6">
        <v>0.26527777777777778</v>
      </c>
      <c r="C67">
        <v>1</v>
      </c>
      <c r="E67">
        <v>1</v>
      </c>
    </row>
    <row r="68" spans="1:5" x14ac:dyDescent="0.25">
      <c r="A68" s="6">
        <v>0.26597222222222222</v>
      </c>
      <c r="C68">
        <v>1</v>
      </c>
      <c r="E68">
        <v>1</v>
      </c>
    </row>
    <row r="69" spans="1:5" x14ac:dyDescent="0.25">
      <c r="A69" s="6">
        <v>0.26666666666666666</v>
      </c>
      <c r="C69">
        <v>1</v>
      </c>
      <c r="E69">
        <v>1</v>
      </c>
    </row>
    <row r="70" spans="1:5" x14ac:dyDescent="0.25">
      <c r="A70" s="6">
        <v>0.2673611111111111</v>
      </c>
      <c r="B70">
        <v>1</v>
      </c>
      <c r="E70">
        <v>1</v>
      </c>
    </row>
    <row r="71" spans="1:5" x14ac:dyDescent="0.25">
      <c r="A71" s="6">
        <v>0.27083333333333331</v>
      </c>
      <c r="B71">
        <v>2</v>
      </c>
      <c r="C71">
        <v>1</v>
      </c>
      <c r="E71">
        <v>3</v>
      </c>
    </row>
    <row r="72" spans="1:5" x14ac:dyDescent="0.25">
      <c r="A72" s="6">
        <v>0.27152777777777776</v>
      </c>
      <c r="C72">
        <v>1</v>
      </c>
      <c r="E72">
        <v>1</v>
      </c>
    </row>
    <row r="73" spans="1:5" x14ac:dyDescent="0.25">
      <c r="A73" s="6">
        <v>0.27291666666666664</v>
      </c>
      <c r="C73">
        <v>1</v>
      </c>
      <c r="E73">
        <v>1</v>
      </c>
    </row>
    <row r="74" spans="1:5" x14ac:dyDescent="0.25">
      <c r="A74" s="6">
        <v>0.27847222222222223</v>
      </c>
      <c r="C74">
        <v>1</v>
      </c>
      <c r="E74">
        <v>1</v>
      </c>
    </row>
    <row r="75" spans="1:5" x14ac:dyDescent="0.25">
      <c r="A75" s="6">
        <v>0.27986111111111112</v>
      </c>
      <c r="B75">
        <v>1</v>
      </c>
      <c r="E75">
        <v>1</v>
      </c>
    </row>
    <row r="76" spans="1:5" x14ac:dyDescent="0.25">
      <c r="A76" s="6">
        <v>0.28055555555555556</v>
      </c>
      <c r="D76">
        <v>1</v>
      </c>
      <c r="E76">
        <v>1</v>
      </c>
    </row>
    <row r="77" spans="1:5" x14ac:dyDescent="0.25">
      <c r="A77" s="6">
        <v>0.28125</v>
      </c>
      <c r="D77">
        <v>1</v>
      </c>
      <c r="E77">
        <v>1</v>
      </c>
    </row>
    <row r="78" spans="1:5" x14ac:dyDescent="0.25">
      <c r="A78" s="6">
        <v>0.28402777777777777</v>
      </c>
      <c r="C78">
        <v>1</v>
      </c>
      <c r="E78">
        <v>1</v>
      </c>
    </row>
    <row r="79" spans="1:5" x14ac:dyDescent="0.25">
      <c r="A79" s="6">
        <v>0.28472222222222221</v>
      </c>
      <c r="C79">
        <v>1</v>
      </c>
      <c r="E79">
        <v>1</v>
      </c>
    </row>
    <row r="80" spans="1:5" x14ac:dyDescent="0.25">
      <c r="A80" s="6">
        <v>0.28611111111111109</v>
      </c>
      <c r="B80">
        <v>1</v>
      </c>
      <c r="E80">
        <v>1</v>
      </c>
    </row>
    <row r="81" spans="1:5" x14ac:dyDescent="0.25">
      <c r="A81" s="6">
        <v>0.28749999999999998</v>
      </c>
      <c r="C81">
        <v>1</v>
      </c>
      <c r="E81">
        <v>1</v>
      </c>
    </row>
    <row r="82" spans="1:5" x14ac:dyDescent="0.25">
      <c r="A82" s="6">
        <v>0.28819444444444442</v>
      </c>
      <c r="C82">
        <v>2</v>
      </c>
      <c r="E82">
        <v>2</v>
      </c>
    </row>
    <row r="83" spans="1:5" x14ac:dyDescent="0.25">
      <c r="A83" s="6">
        <v>0.28958333333333336</v>
      </c>
      <c r="C83">
        <v>1</v>
      </c>
      <c r="E83">
        <v>1</v>
      </c>
    </row>
    <row r="84" spans="1:5" x14ac:dyDescent="0.25">
      <c r="A84" s="6">
        <v>0.2902777777777778</v>
      </c>
      <c r="C84">
        <v>2</v>
      </c>
      <c r="E84">
        <v>2</v>
      </c>
    </row>
    <row r="85" spans="1:5" x14ac:dyDescent="0.25">
      <c r="A85" s="6">
        <v>0.29097222222222224</v>
      </c>
      <c r="C85">
        <v>1</v>
      </c>
      <c r="E85">
        <v>1</v>
      </c>
    </row>
    <row r="86" spans="1:5" x14ac:dyDescent="0.25">
      <c r="A86" s="6">
        <v>0.29305555555555557</v>
      </c>
      <c r="C86">
        <v>2</v>
      </c>
      <c r="E86">
        <v>2</v>
      </c>
    </row>
    <row r="87" spans="1:5" x14ac:dyDescent="0.25">
      <c r="A87" s="6">
        <v>0.29375000000000001</v>
      </c>
      <c r="C87">
        <v>1</v>
      </c>
      <c r="E87">
        <v>1</v>
      </c>
    </row>
    <row r="88" spans="1:5" x14ac:dyDescent="0.25">
      <c r="A88" s="6">
        <v>0.29444444444444445</v>
      </c>
      <c r="B88">
        <v>1</v>
      </c>
      <c r="C88">
        <v>1</v>
      </c>
      <c r="E88">
        <v>2</v>
      </c>
    </row>
    <row r="89" spans="1:5" x14ac:dyDescent="0.25">
      <c r="A89" s="6">
        <v>0.29583333333333334</v>
      </c>
      <c r="C89">
        <v>1</v>
      </c>
      <c r="E89">
        <v>1</v>
      </c>
    </row>
    <row r="90" spans="1:5" x14ac:dyDescent="0.25">
      <c r="A90" s="6">
        <v>0.2986111111111111</v>
      </c>
      <c r="B90">
        <v>1</v>
      </c>
      <c r="E90">
        <v>1</v>
      </c>
    </row>
    <row r="91" spans="1:5" x14ac:dyDescent="0.25">
      <c r="A91" s="6">
        <v>0.3034722222222222</v>
      </c>
      <c r="D91">
        <v>1</v>
      </c>
      <c r="E91">
        <v>1</v>
      </c>
    </row>
    <row r="92" spans="1:5" x14ac:dyDescent="0.25">
      <c r="A92" s="6">
        <v>0.30416666666666664</v>
      </c>
      <c r="C92">
        <v>1</v>
      </c>
      <c r="E92">
        <v>1</v>
      </c>
    </row>
    <row r="93" spans="1:5" x14ac:dyDescent="0.25">
      <c r="A93" s="6">
        <v>0.30555555555555558</v>
      </c>
      <c r="C93">
        <v>1</v>
      </c>
      <c r="E93">
        <v>1</v>
      </c>
    </row>
    <row r="94" spans="1:5" x14ac:dyDescent="0.25">
      <c r="A94" s="6">
        <v>0.30625000000000002</v>
      </c>
      <c r="C94">
        <v>1</v>
      </c>
      <c r="E94">
        <v>1</v>
      </c>
    </row>
    <row r="95" spans="1:5" x14ac:dyDescent="0.25">
      <c r="A95" s="6">
        <v>0.30833333333333335</v>
      </c>
      <c r="C95">
        <v>1</v>
      </c>
      <c r="E95">
        <v>1</v>
      </c>
    </row>
    <row r="96" spans="1:5" x14ac:dyDescent="0.25">
      <c r="A96" s="6">
        <v>0.31111111111111112</v>
      </c>
      <c r="C96">
        <v>1</v>
      </c>
      <c r="E96">
        <v>1</v>
      </c>
    </row>
    <row r="97" spans="1:5" x14ac:dyDescent="0.25">
      <c r="A97" s="6">
        <v>0.31388888888888888</v>
      </c>
      <c r="B97">
        <v>1</v>
      </c>
      <c r="E97">
        <v>1</v>
      </c>
    </row>
    <row r="98" spans="1:5" x14ac:dyDescent="0.25">
      <c r="A98" s="6">
        <v>0.31458333333333333</v>
      </c>
      <c r="C98">
        <v>1</v>
      </c>
      <c r="E98">
        <v>1</v>
      </c>
    </row>
    <row r="99" spans="1:5" x14ac:dyDescent="0.25">
      <c r="A99" s="6">
        <v>0.31527777777777777</v>
      </c>
      <c r="C99">
        <v>1</v>
      </c>
      <c r="E99">
        <v>1</v>
      </c>
    </row>
    <row r="100" spans="1:5" x14ac:dyDescent="0.25">
      <c r="A100" s="6">
        <v>0.31736111111111109</v>
      </c>
      <c r="C100">
        <v>1</v>
      </c>
      <c r="E100">
        <v>1</v>
      </c>
    </row>
    <row r="101" spans="1:5" x14ac:dyDescent="0.25">
      <c r="A101" s="6">
        <v>0.31874999999999998</v>
      </c>
      <c r="C101">
        <v>2</v>
      </c>
      <c r="E101">
        <v>2</v>
      </c>
    </row>
    <row r="102" spans="1:5" x14ac:dyDescent="0.25">
      <c r="A102" s="6">
        <v>0.31944444444444442</v>
      </c>
      <c r="C102">
        <v>2</v>
      </c>
      <c r="E102">
        <v>2</v>
      </c>
    </row>
    <row r="103" spans="1:5" x14ac:dyDescent="0.25">
      <c r="A103" s="6">
        <v>0.32847222222222222</v>
      </c>
      <c r="C103">
        <v>1</v>
      </c>
      <c r="E103">
        <v>1</v>
      </c>
    </row>
    <row r="104" spans="1:5" x14ac:dyDescent="0.25">
      <c r="A104" s="6">
        <v>0.3298611111111111</v>
      </c>
      <c r="B104">
        <v>1</v>
      </c>
      <c r="C104">
        <v>1</v>
      </c>
      <c r="E104">
        <v>2</v>
      </c>
    </row>
    <row r="105" spans="1:5" x14ac:dyDescent="0.25">
      <c r="A105" s="6">
        <v>0.33124999999999999</v>
      </c>
      <c r="C105">
        <v>1</v>
      </c>
      <c r="E105">
        <v>1</v>
      </c>
    </row>
    <row r="106" spans="1:5" x14ac:dyDescent="0.25">
      <c r="A106" s="6">
        <v>0.33194444444444443</v>
      </c>
      <c r="C106">
        <v>1</v>
      </c>
      <c r="E106">
        <v>1</v>
      </c>
    </row>
    <row r="107" spans="1:5" x14ac:dyDescent="0.25">
      <c r="A107" s="6">
        <v>0.33333333333333331</v>
      </c>
      <c r="C107">
        <v>1</v>
      </c>
      <c r="E107">
        <v>1</v>
      </c>
    </row>
    <row r="108" spans="1:5" x14ac:dyDescent="0.25">
      <c r="A108" s="6">
        <v>0.33402777777777776</v>
      </c>
      <c r="C108">
        <v>1</v>
      </c>
      <c r="E108">
        <v>1</v>
      </c>
    </row>
    <row r="109" spans="1:5" x14ac:dyDescent="0.25">
      <c r="A109" s="6">
        <v>0.33819444444444446</v>
      </c>
      <c r="C109">
        <v>1</v>
      </c>
      <c r="D109">
        <v>1</v>
      </c>
      <c r="E109">
        <v>2</v>
      </c>
    </row>
    <row r="110" spans="1:5" x14ac:dyDescent="0.25">
      <c r="A110" s="6">
        <v>0.33888888888888891</v>
      </c>
      <c r="D110">
        <v>1</v>
      </c>
      <c r="E110">
        <v>1</v>
      </c>
    </row>
    <row r="111" spans="1:5" x14ac:dyDescent="0.25">
      <c r="A111" s="6">
        <v>0.34097222222222223</v>
      </c>
      <c r="C111">
        <v>1</v>
      </c>
      <c r="E111">
        <v>1</v>
      </c>
    </row>
    <row r="112" spans="1:5" x14ac:dyDescent="0.25">
      <c r="A112" s="6">
        <v>0.34166666666666667</v>
      </c>
      <c r="C112">
        <v>2</v>
      </c>
      <c r="E112">
        <v>2</v>
      </c>
    </row>
    <row r="113" spans="1:5" x14ac:dyDescent="0.25">
      <c r="A113" s="6">
        <v>0.34305555555555556</v>
      </c>
      <c r="C113">
        <v>3</v>
      </c>
      <c r="E113">
        <v>3</v>
      </c>
    </row>
    <row r="114" spans="1:5" x14ac:dyDescent="0.25">
      <c r="A114" s="6">
        <v>0.34652777777777777</v>
      </c>
      <c r="C114">
        <v>1</v>
      </c>
      <c r="E114">
        <v>1</v>
      </c>
    </row>
    <row r="115" spans="1:5" x14ac:dyDescent="0.25">
      <c r="A115" s="6">
        <v>0.34861111111111109</v>
      </c>
      <c r="C115">
        <v>1</v>
      </c>
      <c r="E115">
        <v>1</v>
      </c>
    </row>
    <row r="116" spans="1:5" x14ac:dyDescent="0.25">
      <c r="A116" s="6">
        <v>0.35</v>
      </c>
      <c r="C116">
        <v>1</v>
      </c>
      <c r="E116">
        <v>1</v>
      </c>
    </row>
    <row r="117" spans="1:5" x14ac:dyDescent="0.25">
      <c r="A117" s="6">
        <v>0.35138888888888886</v>
      </c>
      <c r="C117">
        <v>1</v>
      </c>
      <c r="E117">
        <v>1</v>
      </c>
    </row>
    <row r="118" spans="1:5" x14ac:dyDescent="0.25">
      <c r="A118" s="6">
        <v>0.35208333333333336</v>
      </c>
      <c r="C118">
        <v>3</v>
      </c>
      <c r="E118">
        <v>3</v>
      </c>
    </row>
    <row r="119" spans="1:5" x14ac:dyDescent="0.25">
      <c r="A119" s="6">
        <v>0.3527777777777778</v>
      </c>
      <c r="C119">
        <v>1</v>
      </c>
      <c r="E119">
        <v>1</v>
      </c>
    </row>
    <row r="120" spans="1:5" x14ac:dyDescent="0.25">
      <c r="A120" s="6">
        <v>0.35833333333333334</v>
      </c>
      <c r="C120">
        <v>1</v>
      </c>
      <c r="E120">
        <v>1</v>
      </c>
    </row>
    <row r="121" spans="1:5" x14ac:dyDescent="0.25">
      <c r="A121" s="6">
        <v>0.35902777777777778</v>
      </c>
      <c r="C121">
        <v>2</v>
      </c>
      <c r="E121">
        <v>2</v>
      </c>
    </row>
    <row r="122" spans="1:5" x14ac:dyDescent="0.25">
      <c r="A122" s="6">
        <v>0.35972222222222222</v>
      </c>
      <c r="C122">
        <v>3</v>
      </c>
      <c r="E122">
        <v>3</v>
      </c>
    </row>
    <row r="123" spans="1:5" x14ac:dyDescent="0.25">
      <c r="A123" s="6">
        <v>0.36249999999999999</v>
      </c>
      <c r="C123">
        <v>1</v>
      </c>
      <c r="E123">
        <v>1</v>
      </c>
    </row>
    <row r="124" spans="1:5" x14ac:dyDescent="0.25">
      <c r="A124" s="6">
        <v>0.36319444444444443</v>
      </c>
      <c r="B124">
        <v>1</v>
      </c>
      <c r="E124">
        <v>1</v>
      </c>
    </row>
    <row r="125" spans="1:5" x14ac:dyDescent="0.25">
      <c r="A125" s="6">
        <v>0.36388888888888887</v>
      </c>
      <c r="C125">
        <v>1</v>
      </c>
      <c r="E125">
        <v>1</v>
      </c>
    </row>
    <row r="126" spans="1:5" x14ac:dyDescent="0.25">
      <c r="A126" s="6">
        <v>0.36527777777777776</v>
      </c>
      <c r="C126">
        <v>1</v>
      </c>
      <c r="E126">
        <v>1</v>
      </c>
    </row>
    <row r="127" spans="1:5" x14ac:dyDescent="0.25">
      <c r="A127" s="6">
        <v>0.3659722222222222</v>
      </c>
      <c r="B127">
        <v>1</v>
      </c>
      <c r="E127">
        <v>1</v>
      </c>
    </row>
    <row r="128" spans="1:5" x14ac:dyDescent="0.25">
      <c r="A128" s="6">
        <v>0.36736111111111114</v>
      </c>
      <c r="B128">
        <v>1</v>
      </c>
      <c r="E128">
        <v>1</v>
      </c>
    </row>
    <row r="129" spans="1:5" x14ac:dyDescent="0.25">
      <c r="A129" s="6">
        <v>0.36805555555555558</v>
      </c>
      <c r="C129">
        <v>1</v>
      </c>
      <c r="E129">
        <v>1</v>
      </c>
    </row>
    <row r="130" spans="1:5" x14ac:dyDescent="0.25">
      <c r="A130" s="6">
        <v>0.37013888888888891</v>
      </c>
      <c r="B130">
        <v>1</v>
      </c>
      <c r="E130">
        <v>1</v>
      </c>
    </row>
    <row r="131" spans="1:5" x14ac:dyDescent="0.25">
      <c r="A131" s="6">
        <v>0.37083333333333335</v>
      </c>
      <c r="D131">
        <v>1</v>
      </c>
      <c r="E131">
        <v>1</v>
      </c>
    </row>
    <row r="132" spans="1:5" x14ac:dyDescent="0.25">
      <c r="A132" s="6">
        <v>0.37222222222222223</v>
      </c>
      <c r="C132">
        <v>1</v>
      </c>
      <c r="E132">
        <v>1</v>
      </c>
    </row>
    <row r="133" spans="1:5" x14ac:dyDescent="0.25">
      <c r="A133" s="6">
        <v>0.37291666666666667</v>
      </c>
      <c r="C133">
        <v>1</v>
      </c>
      <c r="E133">
        <v>1</v>
      </c>
    </row>
    <row r="134" spans="1:5" x14ac:dyDescent="0.25">
      <c r="A134" s="6">
        <v>0.37361111111111112</v>
      </c>
      <c r="B134">
        <v>1</v>
      </c>
      <c r="E134">
        <v>1</v>
      </c>
    </row>
    <row r="135" spans="1:5" x14ac:dyDescent="0.25">
      <c r="A135" s="6">
        <v>0.37430555555555556</v>
      </c>
      <c r="C135">
        <v>3</v>
      </c>
      <c r="E135">
        <v>3</v>
      </c>
    </row>
    <row r="136" spans="1:5" x14ac:dyDescent="0.25">
      <c r="A136" s="6">
        <v>0.375</v>
      </c>
      <c r="C136">
        <v>2</v>
      </c>
      <c r="E136">
        <v>2</v>
      </c>
    </row>
    <row r="137" spans="1:5" x14ac:dyDescent="0.25">
      <c r="A137" s="6">
        <v>0.37569444444444444</v>
      </c>
      <c r="C137">
        <v>1</v>
      </c>
      <c r="E137">
        <v>1</v>
      </c>
    </row>
    <row r="138" spans="1:5" x14ac:dyDescent="0.25">
      <c r="A138" s="6">
        <v>0.37638888888888888</v>
      </c>
      <c r="C138">
        <v>2</v>
      </c>
      <c r="E138">
        <v>2</v>
      </c>
    </row>
    <row r="139" spans="1:5" x14ac:dyDescent="0.25">
      <c r="A139" s="6">
        <v>0.37986111111111109</v>
      </c>
      <c r="C139">
        <v>1</v>
      </c>
      <c r="E139">
        <v>1</v>
      </c>
    </row>
    <row r="140" spans="1:5" x14ac:dyDescent="0.25">
      <c r="A140" s="6">
        <v>0.38055555555555554</v>
      </c>
      <c r="C140">
        <v>1</v>
      </c>
      <c r="E140">
        <v>1</v>
      </c>
    </row>
    <row r="141" spans="1:5" x14ac:dyDescent="0.25">
      <c r="A141" s="6">
        <v>0.38124999999999998</v>
      </c>
      <c r="C141">
        <v>1</v>
      </c>
      <c r="E141">
        <v>1</v>
      </c>
    </row>
    <row r="142" spans="1:5" x14ac:dyDescent="0.25">
      <c r="A142" s="6">
        <v>0.38263888888888886</v>
      </c>
      <c r="C142">
        <v>2</v>
      </c>
      <c r="E142">
        <v>2</v>
      </c>
    </row>
    <row r="143" spans="1:5" x14ac:dyDescent="0.25">
      <c r="A143" s="6">
        <v>0.38611111111111113</v>
      </c>
      <c r="C143">
        <v>1</v>
      </c>
      <c r="E143">
        <v>1</v>
      </c>
    </row>
    <row r="144" spans="1:5" x14ac:dyDescent="0.25">
      <c r="A144" s="6">
        <v>0.38680555555555557</v>
      </c>
      <c r="C144">
        <v>1</v>
      </c>
      <c r="E144">
        <v>1</v>
      </c>
    </row>
    <row r="145" spans="1:5" x14ac:dyDescent="0.25">
      <c r="A145" s="6">
        <v>0.38750000000000001</v>
      </c>
      <c r="C145">
        <v>1</v>
      </c>
      <c r="E145">
        <v>1</v>
      </c>
    </row>
    <row r="146" spans="1:5" x14ac:dyDescent="0.25">
      <c r="A146" s="6">
        <v>0.3888888888888889</v>
      </c>
      <c r="C146">
        <v>2</v>
      </c>
      <c r="E146">
        <v>2</v>
      </c>
    </row>
    <row r="147" spans="1:5" x14ac:dyDescent="0.25">
      <c r="A147" s="6">
        <v>0.38958333333333334</v>
      </c>
      <c r="C147">
        <v>1</v>
      </c>
      <c r="E147">
        <v>1</v>
      </c>
    </row>
    <row r="148" spans="1:5" x14ac:dyDescent="0.25">
      <c r="A148" s="6">
        <v>0.3923611111111111</v>
      </c>
      <c r="C148">
        <v>1</v>
      </c>
      <c r="E148">
        <v>1</v>
      </c>
    </row>
    <row r="149" spans="1:5" x14ac:dyDescent="0.25">
      <c r="A149" s="6">
        <v>0.39305555555555555</v>
      </c>
      <c r="C149">
        <v>2</v>
      </c>
      <c r="E149">
        <v>2</v>
      </c>
    </row>
    <row r="150" spans="1:5" x14ac:dyDescent="0.25">
      <c r="A150" s="6">
        <v>0.39374999999999999</v>
      </c>
      <c r="C150">
        <v>1</v>
      </c>
      <c r="E150">
        <v>1</v>
      </c>
    </row>
    <row r="151" spans="1:5" x14ac:dyDescent="0.25">
      <c r="A151" s="6">
        <v>0.39444444444444443</v>
      </c>
      <c r="B151">
        <v>1</v>
      </c>
      <c r="E151">
        <v>1</v>
      </c>
    </row>
    <row r="152" spans="1:5" x14ac:dyDescent="0.25">
      <c r="A152" s="6">
        <v>0.39513888888888887</v>
      </c>
      <c r="D152">
        <v>1</v>
      </c>
      <c r="E152">
        <v>1</v>
      </c>
    </row>
    <row r="153" spans="1:5" x14ac:dyDescent="0.25">
      <c r="A153" s="6">
        <v>0.39583333333333331</v>
      </c>
      <c r="C153">
        <v>1</v>
      </c>
      <c r="E153">
        <v>1</v>
      </c>
    </row>
    <row r="154" spans="1:5" x14ac:dyDescent="0.25">
      <c r="A154" s="6">
        <v>0.39652777777777776</v>
      </c>
      <c r="B154">
        <v>1</v>
      </c>
      <c r="C154">
        <v>1</v>
      </c>
      <c r="E154">
        <v>2</v>
      </c>
    </row>
    <row r="155" spans="1:5" x14ac:dyDescent="0.25">
      <c r="A155" s="6">
        <v>0.3972222222222222</v>
      </c>
      <c r="C155">
        <v>1</v>
      </c>
      <c r="E155">
        <v>1</v>
      </c>
    </row>
    <row r="156" spans="1:5" x14ac:dyDescent="0.25">
      <c r="A156" s="6">
        <v>0.39861111111111114</v>
      </c>
      <c r="B156">
        <v>1</v>
      </c>
      <c r="E156">
        <v>1</v>
      </c>
    </row>
    <row r="157" spans="1:5" x14ac:dyDescent="0.25">
      <c r="A157" s="6">
        <v>0.4</v>
      </c>
      <c r="C157">
        <v>1</v>
      </c>
      <c r="E157">
        <v>1</v>
      </c>
    </row>
    <row r="158" spans="1:5" x14ac:dyDescent="0.25">
      <c r="A158" s="6">
        <v>0.40069444444444446</v>
      </c>
      <c r="C158">
        <v>2</v>
      </c>
      <c r="E158">
        <v>2</v>
      </c>
    </row>
    <row r="159" spans="1:5" x14ac:dyDescent="0.25">
      <c r="A159" s="6">
        <v>0.40555555555555556</v>
      </c>
      <c r="C159">
        <v>1</v>
      </c>
      <c r="D159">
        <v>1</v>
      </c>
      <c r="E159">
        <v>2</v>
      </c>
    </row>
    <row r="160" spans="1:5" x14ac:dyDescent="0.25">
      <c r="A160" s="6">
        <v>0.40625</v>
      </c>
      <c r="C160">
        <v>1</v>
      </c>
      <c r="E160">
        <v>1</v>
      </c>
    </row>
    <row r="161" spans="1:5" x14ac:dyDescent="0.25">
      <c r="A161" s="6">
        <v>0.40763888888888888</v>
      </c>
      <c r="C161">
        <v>1</v>
      </c>
      <c r="E161">
        <v>1</v>
      </c>
    </row>
    <row r="162" spans="1:5" x14ac:dyDescent="0.25">
      <c r="A162" s="6">
        <v>0.40902777777777777</v>
      </c>
      <c r="C162">
        <v>2</v>
      </c>
      <c r="E162">
        <v>2</v>
      </c>
    </row>
    <row r="163" spans="1:5" x14ac:dyDescent="0.25">
      <c r="A163" s="6">
        <v>0.40972222222222221</v>
      </c>
      <c r="C163">
        <v>1</v>
      </c>
      <c r="E163">
        <v>1</v>
      </c>
    </row>
    <row r="164" spans="1:5" x14ac:dyDescent="0.25">
      <c r="A164" s="6">
        <v>0.41249999999999998</v>
      </c>
      <c r="C164">
        <v>1</v>
      </c>
      <c r="E164">
        <v>1</v>
      </c>
    </row>
    <row r="165" spans="1:5" x14ac:dyDescent="0.25">
      <c r="A165" s="6">
        <v>0.41319444444444442</v>
      </c>
      <c r="C165">
        <v>1</v>
      </c>
      <c r="E165">
        <v>1</v>
      </c>
    </row>
    <row r="166" spans="1:5" x14ac:dyDescent="0.25">
      <c r="A166" s="6">
        <v>0.41388888888888886</v>
      </c>
      <c r="B166">
        <v>1</v>
      </c>
      <c r="E166">
        <v>1</v>
      </c>
    </row>
    <row r="167" spans="1:5" x14ac:dyDescent="0.25">
      <c r="A167" s="6">
        <v>0.41458333333333336</v>
      </c>
      <c r="B167">
        <v>1</v>
      </c>
      <c r="E167">
        <v>1</v>
      </c>
    </row>
    <row r="168" spans="1:5" x14ac:dyDescent="0.25">
      <c r="A168" s="6">
        <v>0.42083333333333334</v>
      </c>
      <c r="C168">
        <v>1</v>
      </c>
      <c r="E168">
        <v>1</v>
      </c>
    </row>
    <row r="169" spans="1:5" x14ac:dyDescent="0.25">
      <c r="A169" s="6">
        <v>0.42499999999999999</v>
      </c>
      <c r="B169">
        <v>1</v>
      </c>
      <c r="C169">
        <v>1</v>
      </c>
      <c r="E169">
        <v>2</v>
      </c>
    </row>
    <row r="170" spans="1:5" x14ac:dyDescent="0.25">
      <c r="A170" s="6">
        <v>0.42638888888888887</v>
      </c>
      <c r="C170">
        <v>1</v>
      </c>
      <c r="E170">
        <v>1</v>
      </c>
    </row>
    <row r="171" spans="1:5" x14ac:dyDescent="0.25">
      <c r="A171" s="6">
        <v>0.42708333333333331</v>
      </c>
      <c r="C171">
        <v>2</v>
      </c>
      <c r="E171">
        <v>2</v>
      </c>
    </row>
    <row r="172" spans="1:5" x14ac:dyDescent="0.25">
      <c r="A172" s="6">
        <v>0.42777777777777776</v>
      </c>
      <c r="C172">
        <v>1</v>
      </c>
      <c r="E172">
        <v>1</v>
      </c>
    </row>
    <row r="173" spans="1:5" x14ac:dyDescent="0.25">
      <c r="A173" s="6">
        <v>0.42916666666666664</v>
      </c>
      <c r="C173">
        <v>1</v>
      </c>
      <c r="E173">
        <v>1</v>
      </c>
    </row>
    <row r="174" spans="1:5" x14ac:dyDescent="0.25">
      <c r="A174" s="6">
        <v>0.43194444444444446</v>
      </c>
      <c r="C174">
        <v>1</v>
      </c>
      <c r="E174">
        <v>1</v>
      </c>
    </row>
    <row r="175" spans="1:5" x14ac:dyDescent="0.25">
      <c r="A175" s="6">
        <v>0.43333333333333335</v>
      </c>
      <c r="B175">
        <v>1</v>
      </c>
      <c r="E175">
        <v>1</v>
      </c>
    </row>
    <row r="176" spans="1:5" x14ac:dyDescent="0.25">
      <c r="A176" s="6">
        <v>0.43402777777777779</v>
      </c>
      <c r="C176">
        <v>2</v>
      </c>
      <c r="E176">
        <v>2</v>
      </c>
    </row>
    <row r="177" spans="1:5" x14ac:dyDescent="0.25">
      <c r="A177" s="6">
        <v>0.43680555555555556</v>
      </c>
      <c r="C177">
        <v>2</v>
      </c>
      <c r="E177">
        <v>2</v>
      </c>
    </row>
    <row r="178" spans="1:5" x14ac:dyDescent="0.25">
      <c r="A178" s="6">
        <v>0.43888888888888888</v>
      </c>
      <c r="B178">
        <v>1</v>
      </c>
      <c r="E178">
        <v>1</v>
      </c>
    </row>
    <row r="179" spans="1:5" x14ac:dyDescent="0.25">
      <c r="A179" s="6">
        <v>0.43958333333333333</v>
      </c>
      <c r="C179">
        <v>2</v>
      </c>
      <c r="E179">
        <v>2</v>
      </c>
    </row>
    <row r="180" spans="1:5" x14ac:dyDescent="0.25">
      <c r="A180" s="6">
        <v>0.44236111111111109</v>
      </c>
      <c r="B180">
        <v>1</v>
      </c>
      <c r="E180">
        <v>1</v>
      </c>
    </row>
    <row r="181" spans="1:5" x14ac:dyDescent="0.25">
      <c r="A181" s="6">
        <v>0.44374999999999998</v>
      </c>
      <c r="C181">
        <v>1</v>
      </c>
      <c r="E181">
        <v>1</v>
      </c>
    </row>
    <row r="182" spans="1:5" x14ac:dyDescent="0.25">
      <c r="A182" s="6">
        <v>0.44444444444444442</v>
      </c>
      <c r="C182">
        <v>5</v>
      </c>
      <c r="E182">
        <v>5</v>
      </c>
    </row>
    <row r="183" spans="1:5" x14ac:dyDescent="0.25">
      <c r="A183" s="6">
        <v>0.44513888888888886</v>
      </c>
      <c r="C183">
        <v>1</v>
      </c>
      <c r="E183">
        <v>1</v>
      </c>
    </row>
    <row r="184" spans="1:5" x14ac:dyDescent="0.25">
      <c r="A184" s="6">
        <v>0.44583333333333336</v>
      </c>
      <c r="C184">
        <v>5</v>
      </c>
      <c r="E184">
        <v>5</v>
      </c>
    </row>
    <row r="185" spans="1:5" x14ac:dyDescent="0.25">
      <c r="A185" s="6">
        <v>0.44930555555555557</v>
      </c>
      <c r="C185">
        <v>2</v>
      </c>
      <c r="E185">
        <v>2</v>
      </c>
    </row>
    <row r="186" spans="1:5" x14ac:dyDescent="0.25">
      <c r="A186" s="6">
        <v>0.4513888888888889</v>
      </c>
      <c r="C186">
        <v>1</v>
      </c>
      <c r="E186">
        <v>1</v>
      </c>
    </row>
    <row r="187" spans="1:5" x14ac:dyDescent="0.25">
      <c r="A187" s="6">
        <v>0.45208333333333334</v>
      </c>
      <c r="C187">
        <v>1</v>
      </c>
      <c r="E187">
        <v>1</v>
      </c>
    </row>
    <row r="188" spans="1:5" x14ac:dyDescent="0.25">
      <c r="A188" s="6">
        <v>0.45277777777777778</v>
      </c>
      <c r="C188">
        <v>1</v>
      </c>
      <c r="E188">
        <v>1</v>
      </c>
    </row>
    <row r="189" spans="1:5" x14ac:dyDescent="0.25">
      <c r="A189" s="6">
        <v>0.45347222222222222</v>
      </c>
      <c r="C189">
        <v>2</v>
      </c>
      <c r="E189">
        <v>2</v>
      </c>
    </row>
    <row r="190" spans="1:5" x14ac:dyDescent="0.25">
      <c r="A190" s="6">
        <v>0.4548611111111111</v>
      </c>
      <c r="C190">
        <v>1</v>
      </c>
      <c r="E190">
        <v>1</v>
      </c>
    </row>
    <row r="191" spans="1:5" x14ac:dyDescent="0.25">
      <c r="A191" s="6">
        <v>0.45555555555555555</v>
      </c>
      <c r="C191">
        <v>1</v>
      </c>
      <c r="E191">
        <v>1</v>
      </c>
    </row>
    <row r="192" spans="1:5" x14ac:dyDescent="0.25">
      <c r="A192" s="6">
        <v>0.45694444444444443</v>
      </c>
      <c r="C192">
        <v>1</v>
      </c>
      <c r="E192">
        <v>1</v>
      </c>
    </row>
    <row r="193" spans="1:5" x14ac:dyDescent="0.25">
      <c r="A193" s="6">
        <v>0.45833333333333331</v>
      </c>
      <c r="D193">
        <v>1</v>
      </c>
      <c r="E193">
        <v>1</v>
      </c>
    </row>
    <row r="194" spans="1:5" x14ac:dyDescent="0.25">
      <c r="A194" s="6">
        <v>0.4597222222222222</v>
      </c>
      <c r="C194">
        <v>1</v>
      </c>
      <c r="E194">
        <v>1</v>
      </c>
    </row>
    <row r="195" spans="1:5" x14ac:dyDescent="0.25">
      <c r="A195" s="6">
        <v>0.46041666666666664</v>
      </c>
      <c r="C195">
        <v>1</v>
      </c>
      <c r="E195">
        <v>1</v>
      </c>
    </row>
    <row r="196" spans="1:5" x14ac:dyDescent="0.25">
      <c r="A196" s="6">
        <v>0.46111111111111114</v>
      </c>
      <c r="C196">
        <v>1</v>
      </c>
      <c r="D196">
        <v>1</v>
      </c>
      <c r="E196">
        <v>2</v>
      </c>
    </row>
    <row r="197" spans="1:5" x14ac:dyDescent="0.25">
      <c r="A197" s="6">
        <v>0.46180555555555558</v>
      </c>
      <c r="C197">
        <v>3</v>
      </c>
      <c r="E197">
        <v>3</v>
      </c>
    </row>
    <row r="198" spans="1:5" x14ac:dyDescent="0.25">
      <c r="A198" s="6">
        <v>0.46319444444444446</v>
      </c>
      <c r="C198">
        <v>1</v>
      </c>
      <c r="E198">
        <v>1</v>
      </c>
    </row>
    <row r="199" spans="1:5" x14ac:dyDescent="0.25">
      <c r="A199" s="6">
        <v>0.46388888888888891</v>
      </c>
      <c r="B199">
        <v>1</v>
      </c>
      <c r="C199">
        <v>1</v>
      </c>
      <c r="E199">
        <v>2</v>
      </c>
    </row>
    <row r="200" spans="1:5" x14ac:dyDescent="0.25">
      <c r="A200" s="6">
        <v>0.46527777777777779</v>
      </c>
      <c r="C200">
        <v>1</v>
      </c>
      <c r="E200">
        <v>1</v>
      </c>
    </row>
    <row r="201" spans="1:5" x14ac:dyDescent="0.25">
      <c r="A201" s="6">
        <v>0.46736111111111112</v>
      </c>
      <c r="C201">
        <v>2</v>
      </c>
      <c r="E201">
        <v>2</v>
      </c>
    </row>
    <row r="202" spans="1:5" x14ac:dyDescent="0.25">
      <c r="A202" s="6">
        <v>0.46805555555555556</v>
      </c>
      <c r="C202">
        <v>1</v>
      </c>
      <c r="E202">
        <v>1</v>
      </c>
    </row>
    <row r="203" spans="1:5" x14ac:dyDescent="0.25">
      <c r="A203" s="6">
        <v>0.46944444444444444</v>
      </c>
      <c r="C203">
        <v>1</v>
      </c>
      <c r="E203">
        <v>1</v>
      </c>
    </row>
    <row r="204" spans="1:5" x14ac:dyDescent="0.25">
      <c r="A204" s="6">
        <v>0.47083333333333333</v>
      </c>
      <c r="C204">
        <v>1</v>
      </c>
      <c r="E204">
        <v>1</v>
      </c>
    </row>
    <row r="205" spans="1:5" x14ac:dyDescent="0.25">
      <c r="A205" s="6">
        <v>0.47222222222222221</v>
      </c>
      <c r="C205">
        <v>1</v>
      </c>
      <c r="E205">
        <v>1</v>
      </c>
    </row>
    <row r="206" spans="1:5" x14ac:dyDescent="0.25">
      <c r="A206" s="6">
        <v>0.47291666666666665</v>
      </c>
      <c r="C206">
        <v>1</v>
      </c>
      <c r="E206">
        <v>1</v>
      </c>
    </row>
    <row r="207" spans="1:5" x14ac:dyDescent="0.25">
      <c r="A207" s="6">
        <v>0.47430555555555554</v>
      </c>
      <c r="B207">
        <v>1</v>
      </c>
      <c r="C207">
        <v>1</v>
      </c>
      <c r="E207">
        <v>2</v>
      </c>
    </row>
    <row r="208" spans="1:5" x14ac:dyDescent="0.25">
      <c r="A208" s="6">
        <v>0.47499999999999998</v>
      </c>
      <c r="C208">
        <v>1</v>
      </c>
      <c r="E208">
        <v>1</v>
      </c>
    </row>
    <row r="209" spans="1:5" x14ac:dyDescent="0.25">
      <c r="A209" s="6">
        <v>0.47708333333333336</v>
      </c>
      <c r="C209">
        <v>1</v>
      </c>
      <c r="E209">
        <v>1</v>
      </c>
    </row>
    <row r="210" spans="1:5" x14ac:dyDescent="0.25">
      <c r="A210" s="6">
        <v>0.4777777777777778</v>
      </c>
      <c r="C210">
        <v>1</v>
      </c>
      <c r="D210">
        <v>1</v>
      </c>
      <c r="E210">
        <v>2</v>
      </c>
    </row>
    <row r="211" spans="1:5" x14ac:dyDescent="0.25">
      <c r="A211" s="6">
        <v>0.47847222222222224</v>
      </c>
      <c r="C211">
        <v>1</v>
      </c>
      <c r="E211">
        <v>1</v>
      </c>
    </row>
    <row r="212" spans="1:5" x14ac:dyDescent="0.25">
      <c r="A212" s="6">
        <v>0.47986111111111113</v>
      </c>
      <c r="C212">
        <v>1</v>
      </c>
      <c r="E212">
        <v>1</v>
      </c>
    </row>
    <row r="213" spans="1:5" x14ac:dyDescent="0.25">
      <c r="A213" s="6">
        <v>0.48055555555555557</v>
      </c>
      <c r="C213">
        <v>1</v>
      </c>
      <c r="E213">
        <v>1</v>
      </c>
    </row>
    <row r="214" spans="1:5" x14ac:dyDescent="0.25">
      <c r="A214" s="6">
        <v>0.48125000000000001</v>
      </c>
      <c r="B214">
        <v>1</v>
      </c>
      <c r="E214">
        <v>1</v>
      </c>
    </row>
    <row r="215" spans="1:5" x14ac:dyDescent="0.25">
      <c r="A215" s="6">
        <v>0.48194444444444445</v>
      </c>
      <c r="C215">
        <v>2</v>
      </c>
      <c r="E215">
        <v>2</v>
      </c>
    </row>
    <row r="216" spans="1:5" x14ac:dyDescent="0.25">
      <c r="A216" s="6">
        <v>0.4826388888888889</v>
      </c>
      <c r="C216">
        <v>2</v>
      </c>
      <c r="E216">
        <v>2</v>
      </c>
    </row>
    <row r="217" spans="1:5" x14ac:dyDescent="0.25">
      <c r="A217" s="6">
        <v>0.48333333333333334</v>
      </c>
      <c r="B217">
        <v>1</v>
      </c>
      <c r="C217">
        <v>1</v>
      </c>
      <c r="E217">
        <v>2</v>
      </c>
    </row>
    <row r="218" spans="1:5" x14ac:dyDescent="0.25">
      <c r="A218" s="6">
        <v>0.48472222222222222</v>
      </c>
      <c r="C218">
        <v>3</v>
      </c>
      <c r="E218">
        <v>3</v>
      </c>
    </row>
    <row r="219" spans="1:5" x14ac:dyDescent="0.25">
      <c r="A219" s="6">
        <v>0.48819444444444443</v>
      </c>
      <c r="B219">
        <v>1</v>
      </c>
      <c r="E219">
        <v>1</v>
      </c>
    </row>
    <row r="220" spans="1:5" x14ac:dyDescent="0.25">
      <c r="A220" s="6">
        <v>0.48888888888888887</v>
      </c>
      <c r="C220">
        <v>1</v>
      </c>
      <c r="E220">
        <v>1</v>
      </c>
    </row>
    <row r="221" spans="1:5" x14ac:dyDescent="0.25">
      <c r="A221" s="6">
        <v>0.48958333333333331</v>
      </c>
      <c r="D221">
        <v>1</v>
      </c>
      <c r="E221">
        <v>1</v>
      </c>
    </row>
    <row r="222" spans="1:5" x14ac:dyDescent="0.25">
      <c r="A222" s="6">
        <v>0.49027777777777776</v>
      </c>
      <c r="C222">
        <v>2</v>
      </c>
      <c r="E222">
        <v>2</v>
      </c>
    </row>
    <row r="223" spans="1:5" x14ac:dyDescent="0.25">
      <c r="A223" s="6">
        <v>0.49236111111111114</v>
      </c>
      <c r="C223">
        <v>2</v>
      </c>
      <c r="E223">
        <v>2</v>
      </c>
    </row>
    <row r="224" spans="1:5" x14ac:dyDescent="0.25">
      <c r="A224" s="6">
        <v>0.49444444444444446</v>
      </c>
      <c r="C224">
        <v>1</v>
      </c>
      <c r="E224">
        <v>1</v>
      </c>
    </row>
    <row r="225" spans="1:5" x14ac:dyDescent="0.25">
      <c r="A225" s="6">
        <v>0.49583333333333335</v>
      </c>
      <c r="C225">
        <v>1</v>
      </c>
      <c r="E225">
        <v>1</v>
      </c>
    </row>
    <row r="226" spans="1:5" x14ac:dyDescent="0.25">
      <c r="A226" s="6">
        <v>0.49652777777777779</v>
      </c>
      <c r="B226">
        <v>2</v>
      </c>
      <c r="C226">
        <v>2</v>
      </c>
      <c r="E226">
        <v>4</v>
      </c>
    </row>
    <row r="227" spans="1:5" x14ac:dyDescent="0.25">
      <c r="A227" s="6">
        <v>0.49861111111111112</v>
      </c>
      <c r="B227">
        <v>1</v>
      </c>
      <c r="C227">
        <v>2</v>
      </c>
      <c r="E227">
        <v>3</v>
      </c>
    </row>
    <row r="228" spans="1:5" x14ac:dyDescent="0.25">
      <c r="A228" s="6">
        <v>0.49930555555555556</v>
      </c>
      <c r="C228">
        <v>1</v>
      </c>
      <c r="E228">
        <v>1</v>
      </c>
    </row>
    <row r="229" spans="1:5" x14ac:dyDescent="0.25">
      <c r="A229" s="6">
        <v>0.5</v>
      </c>
      <c r="C229">
        <v>1</v>
      </c>
      <c r="E229">
        <v>1</v>
      </c>
    </row>
    <row r="230" spans="1:5" x14ac:dyDescent="0.25">
      <c r="A230" s="6">
        <v>0.50208333333333333</v>
      </c>
      <c r="C230">
        <v>1</v>
      </c>
      <c r="E230">
        <v>1</v>
      </c>
    </row>
    <row r="231" spans="1:5" x14ac:dyDescent="0.25">
      <c r="A231" s="6">
        <v>0.50277777777777777</v>
      </c>
      <c r="C231">
        <v>1</v>
      </c>
      <c r="E231">
        <v>1</v>
      </c>
    </row>
    <row r="232" spans="1:5" x14ac:dyDescent="0.25">
      <c r="A232" s="6">
        <v>0.50347222222222221</v>
      </c>
      <c r="C232">
        <v>1</v>
      </c>
      <c r="E232">
        <v>1</v>
      </c>
    </row>
    <row r="233" spans="1:5" x14ac:dyDescent="0.25">
      <c r="A233" s="6">
        <v>0.50416666666666665</v>
      </c>
      <c r="C233">
        <v>2</v>
      </c>
      <c r="E233">
        <v>2</v>
      </c>
    </row>
    <row r="234" spans="1:5" x14ac:dyDescent="0.25">
      <c r="A234" s="6">
        <v>0.50486111111111109</v>
      </c>
      <c r="C234">
        <v>3</v>
      </c>
      <c r="E234">
        <v>3</v>
      </c>
    </row>
    <row r="235" spans="1:5" x14ac:dyDescent="0.25">
      <c r="A235" s="6">
        <v>0.50694444444444442</v>
      </c>
      <c r="B235">
        <v>1</v>
      </c>
      <c r="E235">
        <v>1</v>
      </c>
    </row>
    <row r="236" spans="1:5" x14ac:dyDescent="0.25">
      <c r="A236" s="6">
        <v>0.5083333333333333</v>
      </c>
      <c r="B236">
        <v>1</v>
      </c>
      <c r="D236">
        <v>1</v>
      </c>
      <c r="E236">
        <v>2</v>
      </c>
    </row>
    <row r="237" spans="1:5" x14ac:dyDescent="0.25">
      <c r="A237" s="6">
        <v>0.51180555555555551</v>
      </c>
      <c r="C237">
        <v>1</v>
      </c>
      <c r="D237">
        <v>1</v>
      </c>
      <c r="E237">
        <v>2</v>
      </c>
    </row>
    <row r="238" spans="1:5" x14ac:dyDescent="0.25">
      <c r="A238" s="6">
        <v>0.51249999999999996</v>
      </c>
      <c r="C238">
        <v>1</v>
      </c>
      <c r="E238">
        <v>1</v>
      </c>
    </row>
    <row r="239" spans="1:5" x14ac:dyDescent="0.25">
      <c r="A239" s="6">
        <v>0.5131944444444444</v>
      </c>
      <c r="C239">
        <v>1</v>
      </c>
      <c r="E239">
        <v>1</v>
      </c>
    </row>
    <row r="240" spans="1:5" x14ac:dyDescent="0.25">
      <c r="A240" s="6">
        <v>0.51388888888888884</v>
      </c>
      <c r="C240">
        <v>1</v>
      </c>
      <c r="E240">
        <v>1</v>
      </c>
    </row>
    <row r="241" spans="1:5" x14ac:dyDescent="0.25">
      <c r="A241" s="6">
        <v>0.51458333333333328</v>
      </c>
      <c r="B241">
        <v>2</v>
      </c>
      <c r="E241">
        <v>2</v>
      </c>
    </row>
    <row r="242" spans="1:5" x14ac:dyDescent="0.25">
      <c r="A242" s="6">
        <v>0.51597222222222228</v>
      </c>
      <c r="C242">
        <v>1</v>
      </c>
      <c r="E242">
        <v>1</v>
      </c>
    </row>
    <row r="243" spans="1:5" x14ac:dyDescent="0.25">
      <c r="A243" s="6">
        <v>0.51736111111111116</v>
      </c>
      <c r="C243">
        <v>1</v>
      </c>
      <c r="E243">
        <v>1</v>
      </c>
    </row>
    <row r="244" spans="1:5" x14ac:dyDescent="0.25">
      <c r="A244" s="6">
        <v>0.51944444444444449</v>
      </c>
      <c r="C244">
        <v>2</v>
      </c>
      <c r="E244">
        <v>2</v>
      </c>
    </row>
    <row r="245" spans="1:5" x14ac:dyDescent="0.25">
      <c r="A245" s="6">
        <v>0.52083333333333337</v>
      </c>
      <c r="C245">
        <v>2</v>
      </c>
      <c r="E245">
        <v>2</v>
      </c>
    </row>
    <row r="246" spans="1:5" x14ac:dyDescent="0.25">
      <c r="A246" s="6">
        <v>0.52152777777777781</v>
      </c>
      <c r="C246">
        <v>2</v>
      </c>
      <c r="E246">
        <v>2</v>
      </c>
    </row>
    <row r="247" spans="1:5" x14ac:dyDescent="0.25">
      <c r="A247" s="6">
        <v>0.52361111111111114</v>
      </c>
      <c r="C247">
        <v>1</v>
      </c>
      <c r="E247">
        <v>1</v>
      </c>
    </row>
    <row r="248" spans="1:5" x14ac:dyDescent="0.25">
      <c r="A248" s="6">
        <v>0.52569444444444446</v>
      </c>
      <c r="C248">
        <v>3</v>
      </c>
      <c r="E248">
        <v>3</v>
      </c>
    </row>
    <row r="249" spans="1:5" x14ac:dyDescent="0.25">
      <c r="A249" s="6">
        <v>0.52638888888888891</v>
      </c>
      <c r="C249">
        <v>4</v>
      </c>
      <c r="E249">
        <v>4</v>
      </c>
    </row>
    <row r="250" spans="1:5" x14ac:dyDescent="0.25">
      <c r="A250" s="6">
        <v>0.52777777777777779</v>
      </c>
      <c r="C250">
        <v>1</v>
      </c>
      <c r="E250">
        <v>1</v>
      </c>
    </row>
    <row r="251" spans="1:5" x14ac:dyDescent="0.25">
      <c r="A251" s="6">
        <v>0.52847222222222223</v>
      </c>
      <c r="C251">
        <v>3</v>
      </c>
      <c r="E251">
        <v>3</v>
      </c>
    </row>
    <row r="252" spans="1:5" x14ac:dyDescent="0.25">
      <c r="A252" s="6">
        <v>0.53055555555555556</v>
      </c>
      <c r="C252">
        <v>2</v>
      </c>
      <c r="E252">
        <v>2</v>
      </c>
    </row>
    <row r="253" spans="1:5" x14ac:dyDescent="0.25">
      <c r="A253" s="6">
        <v>0.53125</v>
      </c>
      <c r="C253">
        <v>2</v>
      </c>
      <c r="E253">
        <v>2</v>
      </c>
    </row>
    <row r="254" spans="1:5" x14ac:dyDescent="0.25">
      <c r="A254" s="6">
        <v>0.53194444444444444</v>
      </c>
      <c r="C254">
        <v>2</v>
      </c>
      <c r="E254">
        <v>2</v>
      </c>
    </row>
    <row r="255" spans="1:5" x14ac:dyDescent="0.25">
      <c r="A255" s="6">
        <v>0.53263888888888888</v>
      </c>
      <c r="C255">
        <v>2</v>
      </c>
      <c r="E255">
        <v>2</v>
      </c>
    </row>
    <row r="256" spans="1:5" x14ac:dyDescent="0.25">
      <c r="A256" s="6">
        <v>0.53402777777777777</v>
      </c>
      <c r="C256">
        <v>1</v>
      </c>
      <c r="E256">
        <v>1</v>
      </c>
    </row>
    <row r="257" spans="1:5" x14ac:dyDescent="0.25">
      <c r="A257" s="6">
        <v>0.53680555555555554</v>
      </c>
      <c r="C257">
        <v>1</v>
      </c>
      <c r="E257">
        <v>1</v>
      </c>
    </row>
    <row r="258" spans="1:5" x14ac:dyDescent="0.25">
      <c r="A258" s="6">
        <v>0.53749999999999998</v>
      </c>
      <c r="C258">
        <v>1</v>
      </c>
      <c r="E258">
        <v>1</v>
      </c>
    </row>
    <row r="259" spans="1:5" x14ac:dyDescent="0.25">
      <c r="A259" s="6">
        <v>0.54027777777777775</v>
      </c>
      <c r="C259">
        <v>2</v>
      </c>
      <c r="E259">
        <v>2</v>
      </c>
    </row>
    <row r="260" spans="1:5" x14ac:dyDescent="0.25">
      <c r="A260" s="6">
        <v>0.54305555555555551</v>
      </c>
      <c r="C260">
        <v>3</v>
      </c>
      <c r="E260">
        <v>3</v>
      </c>
    </row>
    <row r="261" spans="1:5" x14ac:dyDescent="0.25">
      <c r="A261" s="6">
        <v>0.54374999999999996</v>
      </c>
      <c r="C261">
        <v>2</v>
      </c>
      <c r="E261">
        <v>2</v>
      </c>
    </row>
    <row r="262" spans="1:5" x14ac:dyDescent="0.25">
      <c r="A262" s="6">
        <v>0.54791666666666672</v>
      </c>
      <c r="C262">
        <v>5</v>
      </c>
      <c r="E262">
        <v>5</v>
      </c>
    </row>
    <row r="263" spans="1:5" x14ac:dyDescent="0.25">
      <c r="A263" s="6">
        <v>0.54861111111111116</v>
      </c>
      <c r="C263">
        <v>1</v>
      </c>
      <c r="E263">
        <v>1</v>
      </c>
    </row>
    <row r="264" spans="1:5" x14ac:dyDescent="0.25">
      <c r="A264" s="6">
        <v>0.55138888888888893</v>
      </c>
      <c r="C264">
        <v>1</v>
      </c>
      <c r="E264">
        <v>1</v>
      </c>
    </row>
    <row r="265" spans="1:5" x14ac:dyDescent="0.25">
      <c r="A265" s="6">
        <v>0.55208333333333337</v>
      </c>
      <c r="C265">
        <v>1</v>
      </c>
      <c r="E265">
        <v>1</v>
      </c>
    </row>
    <row r="266" spans="1:5" x14ac:dyDescent="0.25">
      <c r="A266" s="6">
        <v>0.55347222222222225</v>
      </c>
      <c r="C266">
        <v>2</v>
      </c>
      <c r="E266">
        <v>2</v>
      </c>
    </row>
    <row r="267" spans="1:5" x14ac:dyDescent="0.25">
      <c r="A267" s="6">
        <v>0.5541666666666667</v>
      </c>
      <c r="B267">
        <v>1</v>
      </c>
      <c r="E267">
        <v>1</v>
      </c>
    </row>
    <row r="268" spans="1:5" x14ac:dyDescent="0.25">
      <c r="A268" s="6">
        <v>0.55486111111111114</v>
      </c>
      <c r="C268">
        <v>1</v>
      </c>
      <c r="E268">
        <v>1</v>
      </c>
    </row>
    <row r="269" spans="1:5" x14ac:dyDescent="0.25">
      <c r="A269" s="6">
        <v>0.55763888888888891</v>
      </c>
      <c r="C269">
        <v>1</v>
      </c>
      <c r="E269">
        <v>1</v>
      </c>
    </row>
    <row r="270" spans="1:5" x14ac:dyDescent="0.25">
      <c r="A270" s="6">
        <v>0.55833333333333335</v>
      </c>
      <c r="C270">
        <v>1</v>
      </c>
      <c r="E270">
        <v>1</v>
      </c>
    </row>
    <row r="271" spans="1:5" x14ac:dyDescent="0.25">
      <c r="A271" s="6">
        <v>0.55902777777777779</v>
      </c>
      <c r="C271">
        <v>3</v>
      </c>
      <c r="E271">
        <v>3</v>
      </c>
    </row>
    <row r="272" spans="1:5" x14ac:dyDescent="0.25">
      <c r="A272" s="6">
        <v>0.56041666666666667</v>
      </c>
      <c r="B272">
        <v>1</v>
      </c>
      <c r="C272">
        <v>1</v>
      </c>
      <c r="E272">
        <v>2</v>
      </c>
    </row>
    <row r="273" spans="1:5" x14ac:dyDescent="0.25">
      <c r="A273" s="6">
        <v>0.56111111111111112</v>
      </c>
      <c r="C273">
        <v>1</v>
      </c>
      <c r="D273">
        <v>1</v>
      </c>
      <c r="E273">
        <v>2</v>
      </c>
    </row>
    <row r="274" spans="1:5" x14ac:dyDescent="0.25">
      <c r="A274" s="6">
        <v>0.56180555555555556</v>
      </c>
      <c r="C274">
        <v>1</v>
      </c>
      <c r="E274">
        <v>1</v>
      </c>
    </row>
    <row r="275" spans="1:5" x14ac:dyDescent="0.25">
      <c r="A275" s="6">
        <v>0.56458333333333333</v>
      </c>
      <c r="C275">
        <v>1</v>
      </c>
      <c r="D275">
        <v>1</v>
      </c>
      <c r="E275">
        <v>2</v>
      </c>
    </row>
    <row r="276" spans="1:5" x14ac:dyDescent="0.25">
      <c r="A276" s="6">
        <v>0.56527777777777777</v>
      </c>
      <c r="B276">
        <v>1</v>
      </c>
      <c r="C276">
        <v>1</v>
      </c>
      <c r="E276">
        <v>2</v>
      </c>
    </row>
    <row r="277" spans="1:5" x14ac:dyDescent="0.25">
      <c r="A277" s="6">
        <v>0.56666666666666665</v>
      </c>
      <c r="C277">
        <v>1</v>
      </c>
      <c r="E277">
        <v>1</v>
      </c>
    </row>
    <row r="278" spans="1:5" x14ac:dyDescent="0.25">
      <c r="A278" s="6">
        <v>0.56736111111111109</v>
      </c>
      <c r="C278">
        <v>1</v>
      </c>
      <c r="E278">
        <v>1</v>
      </c>
    </row>
    <row r="279" spans="1:5" x14ac:dyDescent="0.25">
      <c r="A279" s="6">
        <v>0.56874999999999998</v>
      </c>
      <c r="C279">
        <v>2</v>
      </c>
      <c r="E279">
        <v>2</v>
      </c>
    </row>
    <row r="280" spans="1:5" x14ac:dyDescent="0.25">
      <c r="A280" s="6">
        <v>0.56944444444444442</v>
      </c>
      <c r="C280">
        <v>1</v>
      </c>
      <c r="E280">
        <v>1</v>
      </c>
    </row>
    <row r="281" spans="1:5" x14ac:dyDescent="0.25">
      <c r="A281" s="6">
        <v>0.57013888888888886</v>
      </c>
      <c r="C281">
        <v>2</v>
      </c>
      <c r="E281">
        <v>2</v>
      </c>
    </row>
    <row r="282" spans="1:5" x14ac:dyDescent="0.25">
      <c r="A282" s="6">
        <v>0.5708333333333333</v>
      </c>
      <c r="B282">
        <v>1</v>
      </c>
      <c r="E282">
        <v>1</v>
      </c>
    </row>
    <row r="283" spans="1:5" x14ac:dyDescent="0.25">
      <c r="A283" s="6">
        <v>0.57222222222222219</v>
      </c>
      <c r="C283">
        <v>1</v>
      </c>
      <c r="E283">
        <v>1</v>
      </c>
    </row>
    <row r="284" spans="1:5" x14ac:dyDescent="0.25">
      <c r="A284" s="6">
        <v>0.57361111111111107</v>
      </c>
      <c r="C284">
        <v>1</v>
      </c>
      <c r="E284">
        <v>1</v>
      </c>
    </row>
    <row r="285" spans="1:5" x14ac:dyDescent="0.25">
      <c r="A285" s="6">
        <v>0.57708333333333328</v>
      </c>
      <c r="C285">
        <v>3</v>
      </c>
      <c r="E285">
        <v>3</v>
      </c>
    </row>
    <row r="286" spans="1:5" x14ac:dyDescent="0.25">
      <c r="A286" s="6">
        <v>0.57916666666666672</v>
      </c>
      <c r="C286">
        <v>1</v>
      </c>
      <c r="E286">
        <v>1</v>
      </c>
    </row>
    <row r="287" spans="1:5" x14ac:dyDescent="0.25">
      <c r="A287" s="6">
        <v>0.57986111111111116</v>
      </c>
      <c r="B287">
        <v>1</v>
      </c>
      <c r="E287">
        <v>1</v>
      </c>
    </row>
    <row r="288" spans="1:5" x14ac:dyDescent="0.25">
      <c r="A288" s="6">
        <v>0.58333333333333337</v>
      </c>
      <c r="C288">
        <v>1</v>
      </c>
      <c r="E288">
        <v>1</v>
      </c>
    </row>
    <row r="289" spans="1:5" x14ac:dyDescent="0.25">
      <c r="A289" s="6">
        <v>0.58402777777777781</v>
      </c>
      <c r="C289">
        <v>1</v>
      </c>
      <c r="E289">
        <v>1</v>
      </c>
    </row>
    <row r="290" spans="1:5" x14ac:dyDescent="0.25">
      <c r="A290" s="6">
        <v>0.58472222222222225</v>
      </c>
      <c r="C290">
        <v>1</v>
      </c>
      <c r="E290">
        <v>1</v>
      </c>
    </row>
    <row r="291" spans="1:5" x14ac:dyDescent="0.25">
      <c r="A291" s="6">
        <v>0.5854166666666667</v>
      </c>
      <c r="B291">
        <v>1</v>
      </c>
      <c r="C291">
        <v>1</v>
      </c>
      <c r="E291">
        <v>2</v>
      </c>
    </row>
    <row r="292" spans="1:5" x14ac:dyDescent="0.25">
      <c r="A292" s="6">
        <v>0.58611111111111114</v>
      </c>
      <c r="B292">
        <v>1</v>
      </c>
      <c r="E292">
        <v>1</v>
      </c>
    </row>
    <row r="293" spans="1:5" x14ac:dyDescent="0.25">
      <c r="A293" s="6">
        <v>0.58680555555555558</v>
      </c>
      <c r="B293">
        <v>1</v>
      </c>
      <c r="C293">
        <v>1</v>
      </c>
      <c r="E293">
        <v>2</v>
      </c>
    </row>
    <row r="294" spans="1:5" x14ac:dyDescent="0.25">
      <c r="A294" s="6">
        <v>0.58958333333333335</v>
      </c>
      <c r="B294">
        <v>1</v>
      </c>
      <c r="C294">
        <v>1</v>
      </c>
      <c r="E294">
        <v>2</v>
      </c>
    </row>
    <row r="295" spans="1:5" x14ac:dyDescent="0.25">
      <c r="A295" s="6">
        <v>0.59097222222222223</v>
      </c>
      <c r="C295">
        <v>2</v>
      </c>
      <c r="E295">
        <v>2</v>
      </c>
    </row>
    <row r="296" spans="1:5" x14ac:dyDescent="0.25">
      <c r="A296" s="6">
        <v>0.59236111111111112</v>
      </c>
      <c r="C296">
        <v>3</v>
      </c>
      <c r="E296">
        <v>3</v>
      </c>
    </row>
    <row r="297" spans="1:5" x14ac:dyDescent="0.25">
      <c r="A297" s="6">
        <v>0.59305555555555556</v>
      </c>
      <c r="C297">
        <v>3</v>
      </c>
      <c r="E297">
        <v>3</v>
      </c>
    </row>
    <row r="298" spans="1:5" x14ac:dyDescent="0.25">
      <c r="A298" s="6">
        <v>0.59375</v>
      </c>
      <c r="C298">
        <v>1</v>
      </c>
      <c r="E298">
        <v>1</v>
      </c>
    </row>
    <row r="299" spans="1:5" x14ac:dyDescent="0.25">
      <c r="A299" s="6">
        <v>0.59444444444444444</v>
      </c>
      <c r="B299">
        <v>1</v>
      </c>
      <c r="C299">
        <v>2</v>
      </c>
      <c r="E299">
        <v>3</v>
      </c>
    </row>
    <row r="300" spans="1:5" x14ac:dyDescent="0.25">
      <c r="A300" s="6">
        <v>0.59513888888888888</v>
      </c>
      <c r="C300">
        <v>1</v>
      </c>
      <c r="E300">
        <v>1</v>
      </c>
    </row>
    <row r="301" spans="1:5" x14ac:dyDescent="0.25">
      <c r="A301" s="6">
        <v>0.59652777777777777</v>
      </c>
      <c r="C301">
        <v>1</v>
      </c>
      <c r="E301">
        <v>1</v>
      </c>
    </row>
    <row r="302" spans="1:5" x14ac:dyDescent="0.25">
      <c r="A302" s="6">
        <v>0.59722222222222221</v>
      </c>
      <c r="C302">
        <v>1</v>
      </c>
      <c r="E302">
        <v>1</v>
      </c>
    </row>
    <row r="303" spans="1:5" x14ac:dyDescent="0.25">
      <c r="A303" s="6">
        <v>0.59791666666666665</v>
      </c>
      <c r="C303">
        <v>1</v>
      </c>
      <c r="E303">
        <v>1</v>
      </c>
    </row>
    <row r="304" spans="1:5" x14ac:dyDescent="0.25">
      <c r="A304" s="6">
        <v>0.59861111111111109</v>
      </c>
      <c r="B304">
        <v>1</v>
      </c>
      <c r="E304">
        <v>1</v>
      </c>
    </row>
    <row r="305" spans="1:5" x14ac:dyDescent="0.25">
      <c r="A305" s="6">
        <v>0.59930555555555554</v>
      </c>
      <c r="C305">
        <v>1</v>
      </c>
      <c r="E305">
        <v>1</v>
      </c>
    </row>
    <row r="306" spans="1:5" x14ac:dyDescent="0.25">
      <c r="A306" s="6">
        <v>0.6</v>
      </c>
      <c r="C306">
        <v>1</v>
      </c>
      <c r="E306">
        <v>1</v>
      </c>
    </row>
    <row r="307" spans="1:5" x14ac:dyDescent="0.25">
      <c r="A307" s="6">
        <v>0.60069444444444442</v>
      </c>
      <c r="C307">
        <v>1</v>
      </c>
      <c r="E307">
        <v>1</v>
      </c>
    </row>
    <row r="308" spans="1:5" x14ac:dyDescent="0.25">
      <c r="A308" s="6">
        <v>0.60138888888888886</v>
      </c>
      <c r="C308">
        <v>2</v>
      </c>
      <c r="E308">
        <v>2</v>
      </c>
    </row>
    <row r="309" spans="1:5" x14ac:dyDescent="0.25">
      <c r="A309" s="6">
        <v>0.6020833333333333</v>
      </c>
      <c r="C309">
        <v>1</v>
      </c>
      <c r="E309">
        <v>1</v>
      </c>
    </row>
    <row r="310" spans="1:5" x14ac:dyDescent="0.25">
      <c r="A310" s="6">
        <v>0.60416666666666663</v>
      </c>
      <c r="C310">
        <v>2</v>
      </c>
      <c r="E310">
        <v>2</v>
      </c>
    </row>
    <row r="311" spans="1:5" x14ac:dyDescent="0.25">
      <c r="A311" s="6">
        <v>0.60486111111111107</v>
      </c>
      <c r="C311">
        <v>1</v>
      </c>
      <c r="E311">
        <v>1</v>
      </c>
    </row>
    <row r="312" spans="1:5" x14ac:dyDescent="0.25">
      <c r="A312" s="6">
        <v>0.60624999999999996</v>
      </c>
      <c r="C312">
        <v>1</v>
      </c>
      <c r="E312">
        <v>1</v>
      </c>
    </row>
    <row r="313" spans="1:5" x14ac:dyDescent="0.25">
      <c r="A313" s="6">
        <v>0.6069444444444444</v>
      </c>
      <c r="D313">
        <v>1</v>
      </c>
      <c r="E313">
        <v>1</v>
      </c>
    </row>
    <row r="314" spans="1:5" x14ac:dyDescent="0.25">
      <c r="A314" s="6">
        <v>0.60763888888888884</v>
      </c>
      <c r="C314">
        <v>1</v>
      </c>
      <c r="E314">
        <v>1</v>
      </c>
    </row>
    <row r="315" spans="1:5" x14ac:dyDescent="0.25">
      <c r="A315" s="6">
        <v>0.60902777777777772</v>
      </c>
      <c r="C315">
        <v>3</v>
      </c>
      <c r="E315">
        <v>3</v>
      </c>
    </row>
    <row r="316" spans="1:5" x14ac:dyDescent="0.25">
      <c r="A316" s="6">
        <v>0.60972222222222228</v>
      </c>
      <c r="C316">
        <v>2</v>
      </c>
      <c r="E316">
        <v>2</v>
      </c>
    </row>
    <row r="317" spans="1:5" x14ac:dyDescent="0.25">
      <c r="A317" s="6">
        <v>0.61250000000000004</v>
      </c>
      <c r="C317">
        <v>1</v>
      </c>
      <c r="E317">
        <v>1</v>
      </c>
    </row>
    <row r="318" spans="1:5" x14ac:dyDescent="0.25">
      <c r="A318" s="6">
        <v>0.61319444444444449</v>
      </c>
      <c r="C318">
        <v>2</v>
      </c>
      <c r="E318">
        <v>2</v>
      </c>
    </row>
    <row r="319" spans="1:5" x14ac:dyDescent="0.25">
      <c r="A319" s="6">
        <v>0.61388888888888893</v>
      </c>
      <c r="C319">
        <v>1</v>
      </c>
      <c r="E319">
        <v>1</v>
      </c>
    </row>
    <row r="320" spans="1:5" x14ac:dyDescent="0.25">
      <c r="A320" s="6">
        <v>0.61527777777777781</v>
      </c>
      <c r="C320">
        <v>3</v>
      </c>
      <c r="E320">
        <v>3</v>
      </c>
    </row>
    <row r="321" spans="1:5" x14ac:dyDescent="0.25">
      <c r="A321" s="6">
        <v>0.61597222222222225</v>
      </c>
      <c r="B321">
        <v>1</v>
      </c>
      <c r="D321">
        <v>1</v>
      </c>
      <c r="E321">
        <v>2</v>
      </c>
    </row>
    <row r="322" spans="1:5" x14ac:dyDescent="0.25">
      <c r="A322" s="6">
        <v>0.61875000000000002</v>
      </c>
      <c r="C322">
        <v>3</v>
      </c>
      <c r="E322">
        <v>3</v>
      </c>
    </row>
    <row r="323" spans="1:5" x14ac:dyDescent="0.25">
      <c r="A323" s="6">
        <v>0.61944444444444446</v>
      </c>
      <c r="C323">
        <v>1</v>
      </c>
      <c r="E323">
        <v>1</v>
      </c>
    </row>
    <row r="324" spans="1:5" x14ac:dyDescent="0.25">
      <c r="A324" s="6">
        <v>0.62083333333333335</v>
      </c>
      <c r="C324">
        <v>1</v>
      </c>
      <c r="E324">
        <v>1</v>
      </c>
    </row>
    <row r="325" spans="1:5" x14ac:dyDescent="0.25">
      <c r="A325" s="6">
        <v>0.62291666666666667</v>
      </c>
      <c r="B325">
        <v>1</v>
      </c>
      <c r="E325">
        <v>1</v>
      </c>
    </row>
    <row r="326" spans="1:5" x14ac:dyDescent="0.25">
      <c r="A326" s="6">
        <v>0.62361111111111112</v>
      </c>
      <c r="B326">
        <v>1</v>
      </c>
      <c r="C326">
        <v>1</v>
      </c>
      <c r="E326">
        <v>2</v>
      </c>
    </row>
    <row r="327" spans="1:5" x14ac:dyDescent="0.25">
      <c r="A327" s="6">
        <v>0.625</v>
      </c>
      <c r="B327">
        <v>1</v>
      </c>
      <c r="C327">
        <v>2</v>
      </c>
      <c r="E327">
        <v>3</v>
      </c>
    </row>
    <row r="328" spans="1:5" x14ac:dyDescent="0.25">
      <c r="A328" s="6">
        <v>0.62638888888888888</v>
      </c>
      <c r="C328">
        <v>2</v>
      </c>
      <c r="E328">
        <v>2</v>
      </c>
    </row>
    <row r="329" spans="1:5" x14ac:dyDescent="0.25">
      <c r="A329" s="6">
        <v>0.62708333333333333</v>
      </c>
      <c r="C329">
        <v>1</v>
      </c>
      <c r="E329">
        <v>1</v>
      </c>
    </row>
    <row r="330" spans="1:5" x14ac:dyDescent="0.25">
      <c r="A330" s="6">
        <v>0.62916666666666665</v>
      </c>
      <c r="C330">
        <v>1</v>
      </c>
      <c r="E330">
        <v>1</v>
      </c>
    </row>
    <row r="331" spans="1:5" x14ac:dyDescent="0.25">
      <c r="A331" s="6">
        <v>0.62986111111111109</v>
      </c>
      <c r="C331">
        <v>2</v>
      </c>
      <c r="E331">
        <v>2</v>
      </c>
    </row>
    <row r="332" spans="1:5" x14ac:dyDescent="0.25">
      <c r="A332" s="6">
        <v>0.63055555555555554</v>
      </c>
      <c r="C332">
        <v>1</v>
      </c>
      <c r="E332">
        <v>1</v>
      </c>
    </row>
    <row r="333" spans="1:5" x14ac:dyDescent="0.25">
      <c r="A333" s="6">
        <v>0.63194444444444442</v>
      </c>
      <c r="C333">
        <v>1</v>
      </c>
      <c r="E333">
        <v>1</v>
      </c>
    </row>
    <row r="334" spans="1:5" x14ac:dyDescent="0.25">
      <c r="A334" s="6">
        <v>0.63263888888888886</v>
      </c>
      <c r="B334">
        <v>1</v>
      </c>
      <c r="E334">
        <v>1</v>
      </c>
    </row>
    <row r="335" spans="1:5" x14ac:dyDescent="0.25">
      <c r="A335" s="6">
        <v>0.6333333333333333</v>
      </c>
      <c r="C335">
        <v>1</v>
      </c>
      <c r="E335">
        <v>1</v>
      </c>
    </row>
    <row r="336" spans="1:5" x14ac:dyDescent="0.25">
      <c r="A336" s="6">
        <v>0.63402777777777775</v>
      </c>
      <c r="C336">
        <v>1</v>
      </c>
      <c r="E336">
        <v>1</v>
      </c>
    </row>
    <row r="337" spans="1:5" x14ac:dyDescent="0.25">
      <c r="A337" s="6">
        <v>0.63472222222222219</v>
      </c>
      <c r="C337">
        <v>1</v>
      </c>
      <c r="E337">
        <v>1</v>
      </c>
    </row>
    <row r="338" spans="1:5" x14ac:dyDescent="0.25">
      <c r="A338" s="6">
        <v>0.63541666666666663</v>
      </c>
      <c r="C338">
        <v>1</v>
      </c>
      <c r="E338">
        <v>1</v>
      </c>
    </row>
    <row r="339" spans="1:5" x14ac:dyDescent="0.25">
      <c r="A339" s="6">
        <v>0.63680555555555551</v>
      </c>
      <c r="C339">
        <v>1</v>
      </c>
      <c r="E339">
        <v>1</v>
      </c>
    </row>
    <row r="340" spans="1:5" x14ac:dyDescent="0.25">
      <c r="A340" s="6">
        <v>0.63749999999999996</v>
      </c>
      <c r="C340">
        <v>3</v>
      </c>
      <c r="E340">
        <v>3</v>
      </c>
    </row>
    <row r="341" spans="1:5" x14ac:dyDescent="0.25">
      <c r="A341" s="6">
        <v>0.63888888888888884</v>
      </c>
      <c r="C341">
        <v>1</v>
      </c>
      <c r="E341">
        <v>1</v>
      </c>
    </row>
    <row r="342" spans="1:5" x14ac:dyDescent="0.25">
      <c r="A342" s="6">
        <v>0.64097222222222228</v>
      </c>
      <c r="C342">
        <v>1</v>
      </c>
      <c r="E342">
        <v>1</v>
      </c>
    </row>
    <row r="343" spans="1:5" x14ac:dyDescent="0.25">
      <c r="A343" s="6">
        <v>0.64166666666666672</v>
      </c>
      <c r="C343">
        <v>1</v>
      </c>
      <c r="E343">
        <v>1</v>
      </c>
    </row>
    <row r="344" spans="1:5" x14ac:dyDescent="0.25">
      <c r="A344" s="6">
        <v>0.64236111111111116</v>
      </c>
      <c r="C344">
        <v>3</v>
      </c>
      <c r="E344">
        <v>3</v>
      </c>
    </row>
    <row r="345" spans="1:5" x14ac:dyDescent="0.25">
      <c r="A345" s="6">
        <v>0.6430555555555556</v>
      </c>
      <c r="C345">
        <v>1</v>
      </c>
      <c r="E345">
        <v>1</v>
      </c>
    </row>
    <row r="346" spans="1:5" x14ac:dyDescent="0.25">
      <c r="A346" s="6">
        <v>0.64375000000000004</v>
      </c>
      <c r="C346">
        <v>2</v>
      </c>
      <c r="E346">
        <v>2</v>
      </c>
    </row>
    <row r="347" spans="1:5" x14ac:dyDescent="0.25">
      <c r="A347" s="6">
        <v>0.64513888888888893</v>
      </c>
      <c r="C347">
        <v>1</v>
      </c>
      <c r="E347">
        <v>1</v>
      </c>
    </row>
    <row r="348" spans="1:5" x14ac:dyDescent="0.25">
      <c r="A348" s="6">
        <v>0.64652777777777781</v>
      </c>
      <c r="C348">
        <v>2</v>
      </c>
      <c r="E348">
        <v>2</v>
      </c>
    </row>
    <row r="349" spans="1:5" x14ac:dyDescent="0.25">
      <c r="A349" s="6">
        <v>0.64722222222222225</v>
      </c>
      <c r="C349">
        <v>1</v>
      </c>
      <c r="E349">
        <v>1</v>
      </c>
    </row>
    <row r="350" spans="1:5" x14ac:dyDescent="0.25">
      <c r="A350" s="6">
        <v>0.65138888888888891</v>
      </c>
      <c r="C350">
        <v>1</v>
      </c>
      <c r="E350">
        <v>1</v>
      </c>
    </row>
    <row r="351" spans="1:5" x14ac:dyDescent="0.25">
      <c r="A351" s="6">
        <v>0.65208333333333335</v>
      </c>
      <c r="C351">
        <v>1</v>
      </c>
      <c r="E351">
        <v>1</v>
      </c>
    </row>
    <row r="352" spans="1:5" x14ac:dyDescent="0.25">
      <c r="A352" s="6">
        <v>0.65347222222222223</v>
      </c>
      <c r="C352">
        <v>2</v>
      </c>
      <c r="E352">
        <v>2</v>
      </c>
    </row>
    <row r="353" spans="1:5" x14ac:dyDescent="0.25">
      <c r="A353" s="6">
        <v>0.65416666666666667</v>
      </c>
      <c r="C353">
        <v>1</v>
      </c>
      <c r="E353">
        <v>1</v>
      </c>
    </row>
    <row r="354" spans="1:5" x14ac:dyDescent="0.25">
      <c r="A354" s="6">
        <v>0.65555555555555556</v>
      </c>
      <c r="C354">
        <v>1</v>
      </c>
      <c r="E354">
        <v>1</v>
      </c>
    </row>
    <row r="355" spans="1:5" x14ac:dyDescent="0.25">
      <c r="A355" s="6">
        <v>0.65625</v>
      </c>
      <c r="C355">
        <v>2</v>
      </c>
      <c r="E355">
        <v>2</v>
      </c>
    </row>
    <row r="356" spans="1:5" x14ac:dyDescent="0.25">
      <c r="A356" s="6">
        <v>0.65694444444444444</v>
      </c>
      <c r="B356">
        <v>2</v>
      </c>
      <c r="C356">
        <v>1</v>
      </c>
      <c r="E356">
        <v>3</v>
      </c>
    </row>
    <row r="357" spans="1:5" x14ac:dyDescent="0.25">
      <c r="A357" s="6">
        <v>0.65763888888888888</v>
      </c>
      <c r="C357">
        <v>2</v>
      </c>
      <c r="E357">
        <v>2</v>
      </c>
    </row>
    <row r="358" spans="1:5" x14ac:dyDescent="0.25">
      <c r="A358" s="6">
        <v>0.65972222222222221</v>
      </c>
      <c r="C358">
        <v>1</v>
      </c>
      <c r="E358">
        <v>1</v>
      </c>
    </row>
    <row r="359" spans="1:5" x14ac:dyDescent="0.25">
      <c r="A359" s="6">
        <v>0.66111111111111109</v>
      </c>
      <c r="C359">
        <v>1</v>
      </c>
      <c r="E359">
        <v>1</v>
      </c>
    </row>
    <row r="360" spans="1:5" x14ac:dyDescent="0.25">
      <c r="A360" s="6">
        <v>0.66180555555555554</v>
      </c>
      <c r="C360">
        <v>1</v>
      </c>
      <c r="E360">
        <v>1</v>
      </c>
    </row>
    <row r="361" spans="1:5" x14ac:dyDescent="0.25">
      <c r="A361" s="6">
        <v>0.66249999999999998</v>
      </c>
      <c r="C361">
        <v>2</v>
      </c>
      <c r="E361">
        <v>2</v>
      </c>
    </row>
    <row r="362" spans="1:5" x14ac:dyDescent="0.25">
      <c r="A362" s="6">
        <v>0.66388888888888886</v>
      </c>
      <c r="C362">
        <v>3</v>
      </c>
      <c r="E362">
        <v>3</v>
      </c>
    </row>
    <row r="363" spans="1:5" x14ac:dyDescent="0.25">
      <c r="A363" s="6">
        <v>0.66527777777777775</v>
      </c>
      <c r="C363">
        <v>4</v>
      </c>
      <c r="E363">
        <v>4</v>
      </c>
    </row>
    <row r="364" spans="1:5" x14ac:dyDescent="0.25">
      <c r="A364" s="6">
        <v>0.66597222222222219</v>
      </c>
      <c r="C364">
        <v>1</v>
      </c>
      <c r="E364">
        <v>1</v>
      </c>
    </row>
    <row r="365" spans="1:5" x14ac:dyDescent="0.25">
      <c r="A365" s="6">
        <v>0.66666666666666663</v>
      </c>
      <c r="C365">
        <v>1</v>
      </c>
      <c r="E365">
        <v>1</v>
      </c>
    </row>
    <row r="366" spans="1:5" x14ac:dyDescent="0.25">
      <c r="A366" s="6">
        <v>0.66736111111111107</v>
      </c>
      <c r="C366">
        <v>1</v>
      </c>
      <c r="E366">
        <v>1</v>
      </c>
    </row>
    <row r="367" spans="1:5" x14ac:dyDescent="0.25">
      <c r="A367" s="6">
        <v>0.6694444444444444</v>
      </c>
      <c r="B367">
        <v>1</v>
      </c>
      <c r="E367">
        <v>1</v>
      </c>
    </row>
    <row r="368" spans="1:5" x14ac:dyDescent="0.25">
      <c r="A368" s="6">
        <v>0.67152777777777772</v>
      </c>
      <c r="C368">
        <v>2</v>
      </c>
      <c r="E368">
        <v>2</v>
      </c>
    </row>
    <row r="369" spans="1:5" x14ac:dyDescent="0.25">
      <c r="A369" s="6">
        <v>0.67222222222222228</v>
      </c>
      <c r="C369">
        <v>2</v>
      </c>
      <c r="E369">
        <v>2</v>
      </c>
    </row>
    <row r="370" spans="1:5" x14ac:dyDescent="0.25">
      <c r="A370" s="6">
        <v>0.67361111111111116</v>
      </c>
      <c r="C370">
        <v>2</v>
      </c>
      <c r="E370">
        <v>2</v>
      </c>
    </row>
    <row r="371" spans="1:5" x14ac:dyDescent="0.25">
      <c r="A371" s="6">
        <v>0.6743055555555556</v>
      </c>
      <c r="C371">
        <v>5</v>
      </c>
      <c r="E371">
        <v>5</v>
      </c>
    </row>
    <row r="372" spans="1:5" x14ac:dyDescent="0.25">
      <c r="A372" s="6">
        <v>0.67500000000000004</v>
      </c>
      <c r="C372">
        <v>2</v>
      </c>
      <c r="E372">
        <v>2</v>
      </c>
    </row>
    <row r="373" spans="1:5" x14ac:dyDescent="0.25">
      <c r="A373" s="6">
        <v>0.67569444444444449</v>
      </c>
      <c r="B373">
        <v>1</v>
      </c>
      <c r="E373">
        <v>1</v>
      </c>
    </row>
    <row r="374" spans="1:5" x14ac:dyDescent="0.25">
      <c r="A374" s="6">
        <v>0.67638888888888893</v>
      </c>
      <c r="B374">
        <v>1</v>
      </c>
      <c r="C374">
        <v>1</v>
      </c>
      <c r="E374">
        <v>2</v>
      </c>
    </row>
    <row r="375" spans="1:5" x14ac:dyDescent="0.25">
      <c r="A375" s="6">
        <v>0.67708333333333337</v>
      </c>
      <c r="B375">
        <v>1</v>
      </c>
      <c r="C375">
        <v>2</v>
      </c>
      <c r="E375">
        <v>3</v>
      </c>
    </row>
    <row r="376" spans="1:5" x14ac:dyDescent="0.25">
      <c r="A376" s="6">
        <v>0.67777777777777781</v>
      </c>
      <c r="C376">
        <v>3</v>
      </c>
      <c r="E376">
        <v>3</v>
      </c>
    </row>
    <row r="377" spans="1:5" x14ac:dyDescent="0.25">
      <c r="A377" s="6">
        <v>0.67986111111111114</v>
      </c>
      <c r="C377">
        <v>1</v>
      </c>
      <c r="E377">
        <v>1</v>
      </c>
    </row>
    <row r="378" spans="1:5" x14ac:dyDescent="0.25">
      <c r="A378" s="6">
        <v>0.68055555555555558</v>
      </c>
      <c r="C378">
        <v>1</v>
      </c>
      <c r="E378">
        <v>1</v>
      </c>
    </row>
    <row r="379" spans="1:5" x14ac:dyDescent="0.25">
      <c r="A379" s="6">
        <v>0.68263888888888891</v>
      </c>
      <c r="C379">
        <v>1</v>
      </c>
      <c r="E379">
        <v>1</v>
      </c>
    </row>
    <row r="380" spans="1:5" x14ac:dyDescent="0.25">
      <c r="A380" s="6">
        <v>0.68333333333333335</v>
      </c>
      <c r="D380">
        <v>1</v>
      </c>
      <c r="E380">
        <v>1</v>
      </c>
    </row>
    <row r="381" spans="1:5" x14ac:dyDescent="0.25">
      <c r="A381" s="6">
        <v>0.68402777777777779</v>
      </c>
      <c r="D381">
        <v>1</v>
      </c>
      <c r="E381">
        <v>1</v>
      </c>
    </row>
    <row r="382" spans="1:5" x14ac:dyDescent="0.25">
      <c r="A382" s="6">
        <v>0.68541666666666667</v>
      </c>
      <c r="C382">
        <v>2</v>
      </c>
      <c r="E382">
        <v>2</v>
      </c>
    </row>
    <row r="383" spans="1:5" x14ac:dyDescent="0.25">
      <c r="A383" s="6">
        <v>0.68611111111111112</v>
      </c>
      <c r="C383">
        <v>1</v>
      </c>
      <c r="E383">
        <v>1</v>
      </c>
    </row>
    <row r="384" spans="1:5" x14ac:dyDescent="0.25">
      <c r="A384" s="6">
        <v>0.68680555555555556</v>
      </c>
      <c r="C384">
        <v>1</v>
      </c>
      <c r="E384">
        <v>1</v>
      </c>
    </row>
    <row r="385" spans="1:5" x14ac:dyDescent="0.25">
      <c r="A385" s="6">
        <v>0.6875</v>
      </c>
      <c r="C385">
        <v>2</v>
      </c>
      <c r="E385">
        <v>2</v>
      </c>
    </row>
    <row r="386" spans="1:5" x14ac:dyDescent="0.25">
      <c r="A386" s="6">
        <v>0.68819444444444444</v>
      </c>
      <c r="C386">
        <v>2</v>
      </c>
      <c r="E386">
        <v>2</v>
      </c>
    </row>
    <row r="387" spans="1:5" x14ac:dyDescent="0.25">
      <c r="A387" s="6">
        <v>0.68888888888888888</v>
      </c>
      <c r="C387">
        <v>1</v>
      </c>
      <c r="E387">
        <v>1</v>
      </c>
    </row>
    <row r="388" spans="1:5" x14ac:dyDescent="0.25">
      <c r="A388" s="6">
        <v>0.69027777777777777</v>
      </c>
      <c r="C388">
        <v>2</v>
      </c>
      <c r="E388">
        <v>2</v>
      </c>
    </row>
    <row r="389" spans="1:5" x14ac:dyDescent="0.25">
      <c r="A389" s="6">
        <v>0.69166666666666665</v>
      </c>
      <c r="C389">
        <v>2</v>
      </c>
      <c r="E389">
        <v>2</v>
      </c>
    </row>
    <row r="390" spans="1:5" x14ac:dyDescent="0.25">
      <c r="A390" s="6">
        <v>0.69305555555555554</v>
      </c>
      <c r="C390">
        <v>2</v>
      </c>
      <c r="E390">
        <v>2</v>
      </c>
    </row>
    <row r="391" spans="1:5" x14ac:dyDescent="0.25">
      <c r="A391" s="6">
        <v>0.69444444444444442</v>
      </c>
      <c r="C391">
        <v>1</v>
      </c>
      <c r="E391">
        <v>1</v>
      </c>
    </row>
    <row r="392" spans="1:5" x14ac:dyDescent="0.25">
      <c r="A392" s="6">
        <v>0.69513888888888886</v>
      </c>
      <c r="C392">
        <v>1</v>
      </c>
      <c r="E392">
        <v>1</v>
      </c>
    </row>
    <row r="393" spans="1:5" x14ac:dyDescent="0.25">
      <c r="A393" s="6">
        <v>0.6958333333333333</v>
      </c>
      <c r="C393">
        <v>1</v>
      </c>
      <c r="E393">
        <v>1</v>
      </c>
    </row>
    <row r="394" spans="1:5" x14ac:dyDescent="0.25">
      <c r="A394" s="6">
        <v>0.69652777777777775</v>
      </c>
      <c r="C394">
        <v>1</v>
      </c>
      <c r="E394">
        <v>1</v>
      </c>
    </row>
    <row r="395" spans="1:5" x14ac:dyDescent="0.25">
      <c r="A395" s="6">
        <v>0.69722222222222219</v>
      </c>
      <c r="C395">
        <v>2</v>
      </c>
      <c r="E395">
        <v>2</v>
      </c>
    </row>
    <row r="396" spans="1:5" x14ac:dyDescent="0.25">
      <c r="A396" s="6">
        <v>0.69791666666666663</v>
      </c>
      <c r="C396">
        <v>2</v>
      </c>
      <c r="E396">
        <v>2</v>
      </c>
    </row>
    <row r="397" spans="1:5" x14ac:dyDescent="0.25">
      <c r="A397" s="6">
        <v>0.7006944444444444</v>
      </c>
      <c r="C397">
        <v>1</v>
      </c>
      <c r="E397">
        <v>1</v>
      </c>
    </row>
    <row r="398" spans="1:5" x14ac:dyDescent="0.25">
      <c r="A398" s="6">
        <v>0.70138888888888884</v>
      </c>
      <c r="C398">
        <v>1</v>
      </c>
      <c r="E398">
        <v>1</v>
      </c>
    </row>
    <row r="399" spans="1:5" x14ac:dyDescent="0.25">
      <c r="A399" s="6">
        <v>0.70277777777777772</v>
      </c>
      <c r="C399">
        <v>2</v>
      </c>
      <c r="E399">
        <v>2</v>
      </c>
    </row>
    <row r="400" spans="1:5" x14ac:dyDescent="0.25">
      <c r="A400" s="6">
        <v>0.70625000000000004</v>
      </c>
      <c r="C400">
        <v>1</v>
      </c>
      <c r="E400">
        <v>1</v>
      </c>
    </row>
    <row r="401" spans="1:5" x14ac:dyDescent="0.25">
      <c r="A401" s="6">
        <v>0.70694444444444449</v>
      </c>
      <c r="C401">
        <v>1</v>
      </c>
      <c r="E401">
        <v>1</v>
      </c>
    </row>
    <row r="402" spans="1:5" x14ac:dyDescent="0.25">
      <c r="A402" s="6">
        <v>0.70763888888888893</v>
      </c>
      <c r="C402">
        <v>1</v>
      </c>
      <c r="E402">
        <v>1</v>
      </c>
    </row>
    <row r="403" spans="1:5" x14ac:dyDescent="0.25">
      <c r="A403" s="6">
        <v>0.70833333333333337</v>
      </c>
      <c r="B403">
        <v>1</v>
      </c>
      <c r="C403">
        <v>1</v>
      </c>
      <c r="E403">
        <v>2</v>
      </c>
    </row>
    <row r="404" spans="1:5" x14ac:dyDescent="0.25">
      <c r="A404" s="6">
        <v>0.70972222222222225</v>
      </c>
      <c r="B404">
        <v>2</v>
      </c>
      <c r="C404">
        <v>1</v>
      </c>
      <c r="E404">
        <v>3</v>
      </c>
    </row>
    <row r="405" spans="1:5" x14ac:dyDescent="0.25">
      <c r="A405" s="6">
        <v>0.71111111111111114</v>
      </c>
      <c r="C405">
        <v>1</v>
      </c>
      <c r="E405">
        <v>1</v>
      </c>
    </row>
    <row r="406" spans="1:5" x14ac:dyDescent="0.25">
      <c r="A406" s="6">
        <v>0.71319444444444446</v>
      </c>
      <c r="C406">
        <v>1</v>
      </c>
      <c r="E406">
        <v>1</v>
      </c>
    </row>
    <row r="407" spans="1:5" x14ac:dyDescent="0.25">
      <c r="A407" s="6">
        <v>0.71458333333333335</v>
      </c>
      <c r="B407">
        <v>1</v>
      </c>
      <c r="E407">
        <v>1</v>
      </c>
    </row>
    <row r="408" spans="1:5" x14ac:dyDescent="0.25">
      <c r="A408" s="6">
        <v>0.71527777777777779</v>
      </c>
      <c r="C408">
        <v>1</v>
      </c>
      <c r="E408">
        <v>1</v>
      </c>
    </row>
    <row r="409" spans="1:5" x14ac:dyDescent="0.25">
      <c r="A409" s="6">
        <v>0.71597222222222223</v>
      </c>
      <c r="B409">
        <v>1</v>
      </c>
      <c r="E409">
        <v>1</v>
      </c>
    </row>
    <row r="410" spans="1:5" x14ac:dyDescent="0.25">
      <c r="A410" s="6">
        <v>0.71666666666666667</v>
      </c>
      <c r="C410">
        <v>3</v>
      </c>
      <c r="E410">
        <v>3</v>
      </c>
    </row>
    <row r="411" spans="1:5" x14ac:dyDescent="0.25">
      <c r="A411" s="6">
        <v>0.71736111111111112</v>
      </c>
      <c r="C411">
        <v>3</v>
      </c>
      <c r="E411">
        <v>3</v>
      </c>
    </row>
    <row r="412" spans="1:5" x14ac:dyDescent="0.25">
      <c r="A412" s="6">
        <v>0.71944444444444444</v>
      </c>
      <c r="C412">
        <v>1</v>
      </c>
      <c r="E412">
        <v>1</v>
      </c>
    </row>
    <row r="413" spans="1:5" x14ac:dyDescent="0.25">
      <c r="A413" s="6">
        <v>0.72013888888888888</v>
      </c>
      <c r="C413">
        <v>2</v>
      </c>
      <c r="E413">
        <v>2</v>
      </c>
    </row>
    <row r="414" spans="1:5" x14ac:dyDescent="0.25">
      <c r="A414" s="6">
        <v>0.72222222222222221</v>
      </c>
      <c r="C414">
        <v>2</v>
      </c>
      <c r="E414">
        <v>2</v>
      </c>
    </row>
    <row r="415" spans="1:5" x14ac:dyDescent="0.25">
      <c r="A415" s="6">
        <v>0.72291666666666665</v>
      </c>
      <c r="B415">
        <v>1</v>
      </c>
      <c r="C415">
        <v>1</v>
      </c>
      <c r="E415">
        <v>2</v>
      </c>
    </row>
    <row r="416" spans="1:5" x14ac:dyDescent="0.25">
      <c r="A416" s="6">
        <v>0.72430555555555554</v>
      </c>
      <c r="C416">
        <v>1</v>
      </c>
      <c r="E416">
        <v>1</v>
      </c>
    </row>
    <row r="417" spans="1:5" x14ac:dyDescent="0.25">
      <c r="A417" s="6">
        <v>0.72638888888888886</v>
      </c>
      <c r="C417">
        <v>1</v>
      </c>
      <c r="E417">
        <v>1</v>
      </c>
    </row>
    <row r="418" spans="1:5" x14ac:dyDescent="0.25">
      <c r="A418" s="6">
        <v>0.7270833333333333</v>
      </c>
      <c r="C418">
        <v>2</v>
      </c>
      <c r="E418">
        <v>2</v>
      </c>
    </row>
    <row r="419" spans="1:5" x14ac:dyDescent="0.25">
      <c r="A419" s="6">
        <v>0.72847222222222219</v>
      </c>
      <c r="C419">
        <v>1</v>
      </c>
      <c r="E419">
        <v>1</v>
      </c>
    </row>
    <row r="420" spans="1:5" x14ac:dyDescent="0.25">
      <c r="A420" s="6">
        <v>0.72916666666666663</v>
      </c>
      <c r="C420">
        <v>1</v>
      </c>
      <c r="E420">
        <v>1</v>
      </c>
    </row>
    <row r="421" spans="1:5" x14ac:dyDescent="0.25">
      <c r="A421" s="6">
        <v>0.72986111111111107</v>
      </c>
      <c r="C421">
        <v>2</v>
      </c>
      <c r="E421">
        <v>2</v>
      </c>
    </row>
    <row r="422" spans="1:5" x14ac:dyDescent="0.25">
      <c r="A422" s="6">
        <v>0.73124999999999996</v>
      </c>
      <c r="C422">
        <v>1</v>
      </c>
      <c r="E422">
        <v>1</v>
      </c>
    </row>
    <row r="423" spans="1:5" x14ac:dyDescent="0.25">
      <c r="A423" s="6">
        <v>0.73333333333333328</v>
      </c>
      <c r="C423">
        <v>1</v>
      </c>
      <c r="E423">
        <v>1</v>
      </c>
    </row>
    <row r="424" spans="1:5" x14ac:dyDescent="0.25">
      <c r="A424" s="6">
        <v>0.73472222222222228</v>
      </c>
      <c r="B424">
        <v>2</v>
      </c>
      <c r="E424">
        <v>2</v>
      </c>
    </row>
    <row r="425" spans="1:5" x14ac:dyDescent="0.25">
      <c r="A425" s="6">
        <v>0.73611111111111116</v>
      </c>
      <c r="B425">
        <v>1</v>
      </c>
      <c r="E425">
        <v>1</v>
      </c>
    </row>
    <row r="426" spans="1:5" x14ac:dyDescent="0.25">
      <c r="A426" s="6">
        <v>0.7368055555555556</v>
      </c>
      <c r="B426">
        <v>1</v>
      </c>
      <c r="E426">
        <v>1</v>
      </c>
    </row>
    <row r="427" spans="1:5" x14ac:dyDescent="0.25">
      <c r="A427" s="6">
        <v>0.73750000000000004</v>
      </c>
      <c r="C427">
        <v>1</v>
      </c>
      <c r="E427">
        <v>1</v>
      </c>
    </row>
    <row r="428" spans="1:5" x14ac:dyDescent="0.25">
      <c r="A428" s="6">
        <v>0.73819444444444449</v>
      </c>
      <c r="C428">
        <v>1</v>
      </c>
      <c r="E428">
        <v>1</v>
      </c>
    </row>
    <row r="429" spans="1:5" x14ac:dyDescent="0.25">
      <c r="A429" s="6">
        <v>0.73888888888888893</v>
      </c>
      <c r="C429">
        <v>1</v>
      </c>
      <c r="E429">
        <v>1</v>
      </c>
    </row>
    <row r="430" spans="1:5" x14ac:dyDescent="0.25">
      <c r="A430" s="6">
        <v>0.73958333333333337</v>
      </c>
      <c r="C430">
        <v>1</v>
      </c>
      <c r="D430">
        <v>1</v>
      </c>
      <c r="E430">
        <v>2</v>
      </c>
    </row>
    <row r="431" spans="1:5" x14ac:dyDescent="0.25">
      <c r="A431" s="6">
        <v>0.74097222222222225</v>
      </c>
      <c r="C431">
        <v>2</v>
      </c>
      <c r="E431">
        <v>2</v>
      </c>
    </row>
    <row r="432" spans="1:5" x14ac:dyDescent="0.25">
      <c r="A432" s="6">
        <v>0.7416666666666667</v>
      </c>
      <c r="C432">
        <v>1</v>
      </c>
      <c r="E432">
        <v>1</v>
      </c>
    </row>
    <row r="433" spans="1:5" x14ac:dyDescent="0.25">
      <c r="A433" s="6">
        <v>0.74236111111111114</v>
      </c>
      <c r="B433">
        <v>1</v>
      </c>
      <c r="E433">
        <v>1</v>
      </c>
    </row>
    <row r="434" spans="1:5" x14ac:dyDescent="0.25">
      <c r="A434" s="6">
        <v>0.74305555555555558</v>
      </c>
      <c r="C434">
        <v>2</v>
      </c>
      <c r="E434">
        <v>2</v>
      </c>
    </row>
    <row r="435" spans="1:5" x14ac:dyDescent="0.25">
      <c r="A435" s="6">
        <v>0.74444444444444446</v>
      </c>
      <c r="C435">
        <v>1</v>
      </c>
      <c r="E435">
        <v>1</v>
      </c>
    </row>
    <row r="436" spans="1:5" x14ac:dyDescent="0.25">
      <c r="A436" s="6">
        <v>0.74583333333333335</v>
      </c>
      <c r="B436">
        <v>1</v>
      </c>
      <c r="C436">
        <v>1</v>
      </c>
      <c r="E436">
        <v>2</v>
      </c>
    </row>
    <row r="437" spans="1:5" x14ac:dyDescent="0.25">
      <c r="A437" s="6">
        <v>0.74652777777777779</v>
      </c>
      <c r="C437">
        <v>1</v>
      </c>
      <c r="D437">
        <v>1</v>
      </c>
      <c r="E437">
        <v>2</v>
      </c>
    </row>
    <row r="438" spans="1:5" x14ac:dyDescent="0.25">
      <c r="A438" s="6">
        <v>0.74722222222222223</v>
      </c>
      <c r="C438">
        <v>1</v>
      </c>
      <c r="E438">
        <v>1</v>
      </c>
    </row>
    <row r="439" spans="1:5" x14ac:dyDescent="0.25">
      <c r="A439" s="6">
        <v>0.74861111111111112</v>
      </c>
      <c r="C439">
        <v>2</v>
      </c>
      <c r="E439">
        <v>2</v>
      </c>
    </row>
    <row r="440" spans="1:5" x14ac:dyDescent="0.25">
      <c r="A440" s="6">
        <v>0.74930555555555556</v>
      </c>
      <c r="B440">
        <v>1</v>
      </c>
      <c r="C440">
        <v>1</v>
      </c>
      <c r="E440">
        <v>2</v>
      </c>
    </row>
    <row r="441" spans="1:5" x14ac:dyDescent="0.25">
      <c r="A441" s="6">
        <v>0.75</v>
      </c>
      <c r="C441">
        <v>1</v>
      </c>
      <c r="E441">
        <v>1</v>
      </c>
    </row>
    <row r="442" spans="1:5" x14ac:dyDescent="0.25">
      <c r="A442" s="6">
        <v>0.75138888888888888</v>
      </c>
      <c r="C442">
        <v>1</v>
      </c>
      <c r="E442">
        <v>1</v>
      </c>
    </row>
    <row r="443" spans="1:5" x14ac:dyDescent="0.25">
      <c r="A443" s="6">
        <v>0.75208333333333333</v>
      </c>
      <c r="C443">
        <v>1</v>
      </c>
      <c r="E443">
        <v>1</v>
      </c>
    </row>
    <row r="444" spans="1:5" x14ac:dyDescent="0.25">
      <c r="A444" s="6">
        <v>0.75347222222222221</v>
      </c>
      <c r="C444">
        <v>1</v>
      </c>
      <c r="E444">
        <v>1</v>
      </c>
    </row>
    <row r="445" spans="1:5" x14ac:dyDescent="0.25">
      <c r="A445" s="6">
        <v>0.75416666666666665</v>
      </c>
      <c r="C445">
        <v>2</v>
      </c>
      <c r="E445">
        <v>2</v>
      </c>
    </row>
    <row r="446" spans="1:5" x14ac:dyDescent="0.25">
      <c r="A446" s="6">
        <v>0.75486111111111109</v>
      </c>
      <c r="C446">
        <v>2</v>
      </c>
      <c r="E446">
        <v>2</v>
      </c>
    </row>
    <row r="447" spans="1:5" x14ac:dyDescent="0.25">
      <c r="A447" s="6">
        <v>0.75624999999999998</v>
      </c>
      <c r="C447">
        <v>1</v>
      </c>
      <c r="E447">
        <v>1</v>
      </c>
    </row>
    <row r="448" spans="1:5" x14ac:dyDescent="0.25">
      <c r="A448" s="6">
        <v>0.75694444444444442</v>
      </c>
      <c r="C448">
        <v>1</v>
      </c>
      <c r="E448">
        <v>1</v>
      </c>
    </row>
    <row r="449" spans="1:5" x14ac:dyDescent="0.25">
      <c r="A449" s="6">
        <v>0.75763888888888886</v>
      </c>
      <c r="B449">
        <v>2</v>
      </c>
      <c r="C449">
        <v>1</v>
      </c>
      <c r="E449">
        <v>3</v>
      </c>
    </row>
    <row r="450" spans="1:5" x14ac:dyDescent="0.25">
      <c r="A450" s="6">
        <v>0.7583333333333333</v>
      </c>
      <c r="C450">
        <v>2</v>
      </c>
      <c r="E450">
        <v>2</v>
      </c>
    </row>
    <row r="451" spans="1:5" x14ac:dyDescent="0.25">
      <c r="A451" s="6">
        <v>0.76041666666666663</v>
      </c>
      <c r="C451">
        <v>2</v>
      </c>
      <c r="E451">
        <v>2</v>
      </c>
    </row>
    <row r="452" spans="1:5" x14ac:dyDescent="0.25">
      <c r="A452" s="6">
        <v>0.76180555555555551</v>
      </c>
      <c r="C452">
        <v>1</v>
      </c>
      <c r="E452">
        <v>1</v>
      </c>
    </row>
    <row r="453" spans="1:5" x14ac:dyDescent="0.25">
      <c r="A453" s="6">
        <v>0.76249999999999996</v>
      </c>
      <c r="C453">
        <v>1</v>
      </c>
      <c r="E453">
        <v>1</v>
      </c>
    </row>
    <row r="454" spans="1:5" x14ac:dyDescent="0.25">
      <c r="A454" s="6">
        <v>0.76527777777777772</v>
      </c>
      <c r="C454">
        <v>1</v>
      </c>
      <c r="E454">
        <v>1</v>
      </c>
    </row>
    <row r="455" spans="1:5" x14ac:dyDescent="0.25">
      <c r="A455" s="6">
        <v>0.76666666666666672</v>
      </c>
      <c r="B455">
        <v>1</v>
      </c>
      <c r="C455">
        <v>2</v>
      </c>
      <c r="E455">
        <v>3</v>
      </c>
    </row>
    <row r="456" spans="1:5" x14ac:dyDescent="0.25">
      <c r="A456" s="6">
        <v>0.76736111111111116</v>
      </c>
      <c r="C456">
        <v>1</v>
      </c>
      <c r="E456">
        <v>1</v>
      </c>
    </row>
    <row r="457" spans="1:5" x14ac:dyDescent="0.25">
      <c r="A457" s="6">
        <v>0.7680555555555556</v>
      </c>
      <c r="B457">
        <v>1</v>
      </c>
      <c r="C457">
        <v>1</v>
      </c>
      <c r="E457">
        <v>2</v>
      </c>
    </row>
    <row r="458" spans="1:5" x14ac:dyDescent="0.25">
      <c r="A458" s="6">
        <v>0.76944444444444449</v>
      </c>
      <c r="C458">
        <v>1</v>
      </c>
      <c r="E458">
        <v>1</v>
      </c>
    </row>
    <row r="459" spans="1:5" x14ac:dyDescent="0.25">
      <c r="A459" s="6">
        <v>0.77083333333333337</v>
      </c>
      <c r="B459">
        <v>1</v>
      </c>
      <c r="D459">
        <v>1</v>
      </c>
      <c r="E459">
        <v>2</v>
      </c>
    </row>
    <row r="460" spans="1:5" x14ac:dyDescent="0.25">
      <c r="A460" s="6">
        <v>0.77152777777777781</v>
      </c>
      <c r="D460">
        <v>1</v>
      </c>
      <c r="E460">
        <v>1</v>
      </c>
    </row>
    <row r="461" spans="1:5" x14ac:dyDescent="0.25">
      <c r="A461" s="6">
        <v>0.77222222222222225</v>
      </c>
      <c r="B461">
        <v>3</v>
      </c>
      <c r="E461">
        <v>3</v>
      </c>
    </row>
    <row r="462" spans="1:5" x14ac:dyDescent="0.25">
      <c r="A462" s="6">
        <v>0.7729166666666667</v>
      </c>
      <c r="C462">
        <v>2</v>
      </c>
      <c r="E462">
        <v>2</v>
      </c>
    </row>
    <row r="463" spans="1:5" x14ac:dyDescent="0.25">
      <c r="A463" s="6">
        <v>0.77430555555555558</v>
      </c>
      <c r="B463">
        <v>1</v>
      </c>
      <c r="E463">
        <v>1</v>
      </c>
    </row>
    <row r="464" spans="1:5" x14ac:dyDescent="0.25">
      <c r="A464" s="6">
        <v>0.77569444444444446</v>
      </c>
      <c r="C464">
        <v>1</v>
      </c>
      <c r="E464">
        <v>1</v>
      </c>
    </row>
    <row r="465" spans="1:5" x14ac:dyDescent="0.25">
      <c r="A465" s="6">
        <v>0.77708333333333335</v>
      </c>
      <c r="B465">
        <v>1</v>
      </c>
      <c r="C465">
        <v>1</v>
      </c>
      <c r="E465">
        <v>2</v>
      </c>
    </row>
    <row r="466" spans="1:5" x14ac:dyDescent="0.25">
      <c r="A466" s="6">
        <v>0.77777777777777779</v>
      </c>
      <c r="C466">
        <v>1</v>
      </c>
      <c r="E466">
        <v>1</v>
      </c>
    </row>
    <row r="467" spans="1:5" x14ac:dyDescent="0.25">
      <c r="A467" s="6">
        <v>0.77916666666666667</v>
      </c>
      <c r="C467">
        <v>1</v>
      </c>
      <c r="E467">
        <v>1</v>
      </c>
    </row>
    <row r="468" spans="1:5" x14ac:dyDescent="0.25">
      <c r="A468" s="6">
        <v>0.77986111111111112</v>
      </c>
      <c r="C468">
        <v>2</v>
      </c>
      <c r="E468">
        <v>2</v>
      </c>
    </row>
    <row r="469" spans="1:5" x14ac:dyDescent="0.25">
      <c r="A469" s="6">
        <v>0.78194444444444444</v>
      </c>
      <c r="C469">
        <v>1</v>
      </c>
      <c r="E469">
        <v>1</v>
      </c>
    </row>
    <row r="470" spans="1:5" x14ac:dyDescent="0.25">
      <c r="A470" s="6">
        <v>0.78263888888888888</v>
      </c>
      <c r="C470">
        <v>1</v>
      </c>
      <c r="E470">
        <v>1</v>
      </c>
    </row>
    <row r="471" spans="1:5" x14ac:dyDescent="0.25">
      <c r="A471" s="6">
        <v>0.78333333333333333</v>
      </c>
      <c r="C471">
        <v>1</v>
      </c>
      <c r="E471">
        <v>1</v>
      </c>
    </row>
    <row r="472" spans="1:5" x14ac:dyDescent="0.25">
      <c r="A472" s="6">
        <v>0.78402777777777777</v>
      </c>
      <c r="B472">
        <v>1</v>
      </c>
      <c r="E472">
        <v>1</v>
      </c>
    </row>
    <row r="473" spans="1:5" x14ac:dyDescent="0.25">
      <c r="A473" s="6">
        <v>0.78541666666666665</v>
      </c>
      <c r="C473">
        <v>2</v>
      </c>
      <c r="E473">
        <v>2</v>
      </c>
    </row>
    <row r="474" spans="1:5" x14ac:dyDescent="0.25">
      <c r="A474" s="6">
        <v>0.78680555555555554</v>
      </c>
      <c r="C474">
        <v>2</v>
      </c>
      <c r="E474">
        <v>2</v>
      </c>
    </row>
    <row r="475" spans="1:5" x14ac:dyDescent="0.25">
      <c r="A475" s="6">
        <v>0.78749999999999998</v>
      </c>
      <c r="B475">
        <v>1</v>
      </c>
      <c r="E475">
        <v>1</v>
      </c>
    </row>
    <row r="476" spans="1:5" x14ac:dyDescent="0.25">
      <c r="A476" s="6">
        <v>0.78819444444444442</v>
      </c>
      <c r="B476">
        <v>1</v>
      </c>
      <c r="E476">
        <v>1</v>
      </c>
    </row>
    <row r="477" spans="1:5" x14ac:dyDescent="0.25">
      <c r="A477" s="6">
        <v>0.78888888888888886</v>
      </c>
      <c r="B477">
        <v>1</v>
      </c>
      <c r="C477">
        <v>1</v>
      </c>
      <c r="E477">
        <v>2</v>
      </c>
    </row>
    <row r="478" spans="1:5" x14ac:dyDescent="0.25">
      <c r="A478" s="6">
        <v>0.7895833333333333</v>
      </c>
      <c r="B478">
        <v>1</v>
      </c>
      <c r="C478">
        <v>1</v>
      </c>
      <c r="E478">
        <v>2</v>
      </c>
    </row>
    <row r="479" spans="1:5" x14ac:dyDescent="0.25">
      <c r="A479" s="6">
        <v>0.79027777777777775</v>
      </c>
      <c r="C479">
        <v>4</v>
      </c>
      <c r="E479">
        <v>4</v>
      </c>
    </row>
    <row r="480" spans="1:5" x14ac:dyDescent="0.25">
      <c r="A480" s="6">
        <v>0.79166666666666663</v>
      </c>
      <c r="C480">
        <v>4</v>
      </c>
      <c r="E480">
        <v>4</v>
      </c>
    </row>
    <row r="481" spans="1:5" x14ac:dyDescent="0.25">
      <c r="A481" s="6">
        <v>0.79236111111111107</v>
      </c>
      <c r="B481">
        <v>1</v>
      </c>
      <c r="C481">
        <v>1</v>
      </c>
      <c r="E481">
        <v>2</v>
      </c>
    </row>
    <row r="482" spans="1:5" x14ac:dyDescent="0.25">
      <c r="A482" s="6">
        <v>0.79305555555555551</v>
      </c>
      <c r="C482">
        <v>2</v>
      </c>
      <c r="E482">
        <v>2</v>
      </c>
    </row>
    <row r="483" spans="1:5" x14ac:dyDescent="0.25">
      <c r="A483" s="6">
        <v>0.79374999999999996</v>
      </c>
      <c r="C483">
        <v>1</v>
      </c>
      <c r="E483">
        <v>1</v>
      </c>
    </row>
    <row r="484" spans="1:5" x14ac:dyDescent="0.25">
      <c r="A484" s="6">
        <v>0.79583333333333328</v>
      </c>
      <c r="C484">
        <v>1</v>
      </c>
      <c r="E484">
        <v>1</v>
      </c>
    </row>
    <row r="485" spans="1:5" x14ac:dyDescent="0.25">
      <c r="A485" s="6">
        <v>0.79652777777777772</v>
      </c>
      <c r="C485">
        <v>1</v>
      </c>
      <c r="D485">
        <v>1</v>
      </c>
      <c r="E485">
        <v>2</v>
      </c>
    </row>
    <row r="486" spans="1:5" x14ac:dyDescent="0.25">
      <c r="A486" s="6">
        <v>0.79722222222222228</v>
      </c>
      <c r="C486">
        <v>1</v>
      </c>
      <c r="E486">
        <v>1</v>
      </c>
    </row>
    <row r="487" spans="1:5" x14ac:dyDescent="0.25">
      <c r="A487" s="6">
        <v>0.79791666666666672</v>
      </c>
      <c r="C487">
        <v>1</v>
      </c>
      <c r="E487">
        <v>1</v>
      </c>
    </row>
    <row r="488" spans="1:5" x14ac:dyDescent="0.25">
      <c r="A488" s="6">
        <v>0.79861111111111116</v>
      </c>
      <c r="C488">
        <v>2</v>
      </c>
      <c r="E488">
        <v>2</v>
      </c>
    </row>
    <row r="489" spans="1:5" x14ac:dyDescent="0.25">
      <c r="A489" s="6">
        <v>0.7993055555555556</v>
      </c>
      <c r="C489">
        <v>3</v>
      </c>
      <c r="E489">
        <v>3</v>
      </c>
    </row>
    <row r="490" spans="1:5" x14ac:dyDescent="0.25">
      <c r="A490" s="6">
        <v>0.80069444444444449</v>
      </c>
      <c r="C490">
        <v>1</v>
      </c>
      <c r="E490">
        <v>1</v>
      </c>
    </row>
    <row r="491" spans="1:5" x14ac:dyDescent="0.25">
      <c r="A491" s="6">
        <v>0.80138888888888893</v>
      </c>
      <c r="C491">
        <v>2</v>
      </c>
      <c r="E491">
        <v>2</v>
      </c>
    </row>
    <row r="492" spans="1:5" x14ac:dyDescent="0.25">
      <c r="A492" s="6">
        <v>0.80208333333333337</v>
      </c>
      <c r="C492">
        <v>2</v>
      </c>
      <c r="E492">
        <v>2</v>
      </c>
    </row>
    <row r="493" spans="1:5" x14ac:dyDescent="0.25">
      <c r="A493" s="6">
        <v>0.80277777777777781</v>
      </c>
      <c r="C493">
        <v>3</v>
      </c>
      <c r="E493">
        <v>3</v>
      </c>
    </row>
    <row r="494" spans="1:5" x14ac:dyDescent="0.25">
      <c r="A494" s="6">
        <v>0.80347222222222225</v>
      </c>
      <c r="C494">
        <v>2</v>
      </c>
      <c r="E494">
        <v>2</v>
      </c>
    </row>
    <row r="495" spans="1:5" x14ac:dyDescent="0.25">
      <c r="A495" s="6">
        <v>0.8041666666666667</v>
      </c>
      <c r="B495">
        <v>1</v>
      </c>
      <c r="E495">
        <v>1</v>
      </c>
    </row>
    <row r="496" spans="1:5" x14ac:dyDescent="0.25">
      <c r="A496" s="6">
        <v>0.80486111111111114</v>
      </c>
      <c r="B496">
        <v>1</v>
      </c>
      <c r="E496">
        <v>1</v>
      </c>
    </row>
    <row r="497" spans="1:5" x14ac:dyDescent="0.25">
      <c r="A497" s="6">
        <v>0.80555555555555558</v>
      </c>
      <c r="B497">
        <v>1</v>
      </c>
      <c r="C497">
        <v>1</v>
      </c>
      <c r="E497">
        <v>2</v>
      </c>
    </row>
    <row r="498" spans="1:5" x14ac:dyDescent="0.25">
      <c r="A498" s="6">
        <v>0.80694444444444446</v>
      </c>
      <c r="B498">
        <v>2</v>
      </c>
      <c r="C498">
        <v>3</v>
      </c>
      <c r="E498">
        <v>5</v>
      </c>
    </row>
    <row r="499" spans="1:5" x14ac:dyDescent="0.25">
      <c r="A499" s="6">
        <v>0.80833333333333335</v>
      </c>
      <c r="C499">
        <v>1</v>
      </c>
      <c r="E499">
        <v>1</v>
      </c>
    </row>
    <row r="500" spans="1:5" x14ac:dyDescent="0.25">
      <c r="A500" s="6">
        <v>0.80902777777777779</v>
      </c>
      <c r="C500">
        <v>1</v>
      </c>
      <c r="E500">
        <v>1</v>
      </c>
    </row>
    <row r="501" spans="1:5" x14ac:dyDescent="0.25">
      <c r="A501" s="6">
        <v>0.80972222222222223</v>
      </c>
      <c r="C501">
        <v>3</v>
      </c>
      <c r="E501">
        <v>3</v>
      </c>
    </row>
    <row r="502" spans="1:5" x14ac:dyDescent="0.25">
      <c r="A502" s="6">
        <v>0.81111111111111112</v>
      </c>
      <c r="C502">
        <v>1</v>
      </c>
      <c r="E502">
        <v>1</v>
      </c>
    </row>
    <row r="503" spans="1:5" x14ac:dyDescent="0.25">
      <c r="A503" s="6">
        <v>0.81180555555555556</v>
      </c>
      <c r="C503">
        <v>2</v>
      </c>
      <c r="E503">
        <v>2</v>
      </c>
    </row>
    <row r="504" spans="1:5" x14ac:dyDescent="0.25">
      <c r="A504" s="6">
        <v>0.81388888888888888</v>
      </c>
      <c r="C504">
        <v>2</v>
      </c>
      <c r="E504">
        <v>2</v>
      </c>
    </row>
    <row r="505" spans="1:5" x14ac:dyDescent="0.25">
      <c r="A505" s="6">
        <v>0.81597222222222221</v>
      </c>
      <c r="C505">
        <v>1</v>
      </c>
      <c r="E505">
        <v>1</v>
      </c>
    </row>
    <row r="506" spans="1:5" x14ac:dyDescent="0.25">
      <c r="A506" s="6">
        <v>0.82013888888888886</v>
      </c>
      <c r="C506">
        <v>3</v>
      </c>
      <c r="E506">
        <v>3</v>
      </c>
    </row>
    <row r="507" spans="1:5" x14ac:dyDescent="0.25">
      <c r="A507" s="6">
        <v>0.82291666666666663</v>
      </c>
      <c r="C507">
        <v>1</v>
      </c>
      <c r="E507">
        <v>1</v>
      </c>
    </row>
    <row r="508" spans="1:5" x14ac:dyDescent="0.25">
      <c r="A508" s="6">
        <v>0.82430555555555551</v>
      </c>
      <c r="C508">
        <v>1</v>
      </c>
      <c r="E508">
        <v>1</v>
      </c>
    </row>
    <row r="509" spans="1:5" x14ac:dyDescent="0.25">
      <c r="A509" s="6">
        <v>0.8256944444444444</v>
      </c>
      <c r="B509">
        <v>2</v>
      </c>
      <c r="C509">
        <v>1</v>
      </c>
      <c r="E509">
        <v>3</v>
      </c>
    </row>
    <row r="510" spans="1:5" x14ac:dyDescent="0.25">
      <c r="A510" s="6">
        <v>0.82638888888888884</v>
      </c>
      <c r="C510">
        <v>2</v>
      </c>
      <c r="D510">
        <v>1</v>
      </c>
      <c r="E510">
        <v>3</v>
      </c>
    </row>
    <row r="511" spans="1:5" x14ac:dyDescent="0.25">
      <c r="A511" s="6">
        <v>0.82708333333333328</v>
      </c>
      <c r="C511">
        <v>1</v>
      </c>
      <c r="E511">
        <v>1</v>
      </c>
    </row>
    <row r="512" spans="1:5" x14ac:dyDescent="0.25">
      <c r="A512" s="6">
        <v>0.82777777777777772</v>
      </c>
      <c r="B512">
        <v>1</v>
      </c>
      <c r="C512">
        <v>1</v>
      </c>
      <c r="E512">
        <v>2</v>
      </c>
    </row>
    <row r="513" spans="1:5" x14ac:dyDescent="0.25">
      <c r="A513" s="6">
        <v>0.82916666666666672</v>
      </c>
      <c r="C513">
        <v>3</v>
      </c>
      <c r="E513">
        <v>3</v>
      </c>
    </row>
    <row r="514" spans="1:5" x14ac:dyDescent="0.25">
      <c r="A514" s="6">
        <v>0.82986111111111116</v>
      </c>
      <c r="C514">
        <v>1</v>
      </c>
      <c r="E514">
        <v>1</v>
      </c>
    </row>
    <row r="515" spans="1:5" x14ac:dyDescent="0.25">
      <c r="A515" s="6">
        <v>0.83125000000000004</v>
      </c>
      <c r="C515">
        <v>2</v>
      </c>
      <c r="E515">
        <v>2</v>
      </c>
    </row>
    <row r="516" spans="1:5" x14ac:dyDescent="0.25">
      <c r="A516" s="6">
        <v>0.83194444444444449</v>
      </c>
      <c r="C516">
        <v>1</v>
      </c>
      <c r="E516">
        <v>1</v>
      </c>
    </row>
    <row r="517" spans="1:5" x14ac:dyDescent="0.25">
      <c r="A517" s="6">
        <v>0.83472222222222225</v>
      </c>
      <c r="C517">
        <v>2</v>
      </c>
      <c r="E517">
        <v>2</v>
      </c>
    </row>
    <row r="518" spans="1:5" x14ac:dyDescent="0.25">
      <c r="A518" s="6">
        <v>0.8354166666666667</v>
      </c>
      <c r="C518">
        <v>1</v>
      </c>
      <c r="E518">
        <v>1</v>
      </c>
    </row>
    <row r="519" spans="1:5" x14ac:dyDescent="0.25">
      <c r="A519" s="6">
        <v>0.83611111111111114</v>
      </c>
      <c r="C519">
        <v>1</v>
      </c>
      <c r="E519">
        <v>1</v>
      </c>
    </row>
    <row r="520" spans="1:5" x14ac:dyDescent="0.25">
      <c r="A520" s="6">
        <v>0.83819444444444446</v>
      </c>
      <c r="C520">
        <v>2</v>
      </c>
      <c r="E520">
        <v>2</v>
      </c>
    </row>
    <row r="521" spans="1:5" x14ac:dyDescent="0.25">
      <c r="A521" s="6">
        <v>0.83888888888888891</v>
      </c>
      <c r="C521">
        <v>1</v>
      </c>
      <c r="E521">
        <v>1</v>
      </c>
    </row>
    <row r="522" spans="1:5" x14ac:dyDescent="0.25">
      <c r="A522" s="6">
        <v>0.84097222222222223</v>
      </c>
      <c r="C522">
        <v>1</v>
      </c>
      <c r="E522">
        <v>1</v>
      </c>
    </row>
    <row r="523" spans="1:5" x14ac:dyDescent="0.25">
      <c r="A523" s="6">
        <v>0.84166666666666667</v>
      </c>
      <c r="C523">
        <v>1</v>
      </c>
      <c r="E523">
        <v>1</v>
      </c>
    </row>
    <row r="524" spans="1:5" x14ac:dyDescent="0.25">
      <c r="A524" s="6">
        <v>0.84236111111111112</v>
      </c>
      <c r="C524">
        <v>2</v>
      </c>
      <c r="E524">
        <v>2</v>
      </c>
    </row>
    <row r="525" spans="1:5" x14ac:dyDescent="0.25">
      <c r="A525" s="6">
        <v>0.84583333333333333</v>
      </c>
      <c r="B525">
        <v>1</v>
      </c>
      <c r="C525">
        <v>1</v>
      </c>
      <c r="E525">
        <v>2</v>
      </c>
    </row>
    <row r="526" spans="1:5" x14ac:dyDescent="0.25">
      <c r="A526" s="6">
        <v>0.84791666666666665</v>
      </c>
      <c r="C526">
        <v>4</v>
      </c>
      <c r="E526">
        <v>4</v>
      </c>
    </row>
    <row r="527" spans="1:5" x14ac:dyDescent="0.25">
      <c r="A527" s="6">
        <v>0.84930555555555554</v>
      </c>
      <c r="D527">
        <v>1</v>
      </c>
      <c r="E527">
        <v>1</v>
      </c>
    </row>
    <row r="528" spans="1:5" x14ac:dyDescent="0.25">
      <c r="A528" s="6">
        <v>0.85069444444444442</v>
      </c>
      <c r="C528">
        <v>1</v>
      </c>
      <c r="E528">
        <v>1</v>
      </c>
    </row>
    <row r="529" spans="1:5" x14ac:dyDescent="0.25">
      <c r="A529" s="6">
        <v>0.85138888888888886</v>
      </c>
      <c r="B529">
        <v>1</v>
      </c>
      <c r="E529">
        <v>1</v>
      </c>
    </row>
    <row r="530" spans="1:5" x14ac:dyDescent="0.25">
      <c r="A530" s="6">
        <v>0.8520833333333333</v>
      </c>
      <c r="C530">
        <v>2</v>
      </c>
      <c r="E530">
        <v>2</v>
      </c>
    </row>
    <row r="531" spans="1:5" x14ac:dyDescent="0.25">
      <c r="A531" s="6">
        <v>0.85277777777777775</v>
      </c>
      <c r="B531">
        <v>1</v>
      </c>
      <c r="C531">
        <v>1</v>
      </c>
      <c r="E531">
        <v>2</v>
      </c>
    </row>
    <row r="532" spans="1:5" x14ac:dyDescent="0.25">
      <c r="A532" s="6">
        <v>0.85555555555555551</v>
      </c>
      <c r="C532">
        <v>1</v>
      </c>
      <c r="E532">
        <v>1</v>
      </c>
    </row>
    <row r="533" spans="1:5" x14ac:dyDescent="0.25">
      <c r="A533" s="6">
        <v>0.8569444444444444</v>
      </c>
      <c r="C533">
        <v>3</v>
      </c>
      <c r="E533">
        <v>3</v>
      </c>
    </row>
    <row r="534" spans="1:5" x14ac:dyDescent="0.25">
      <c r="A534" s="6">
        <v>0.85763888888888884</v>
      </c>
      <c r="B534">
        <v>1</v>
      </c>
      <c r="C534">
        <v>1</v>
      </c>
      <c r="E534">
        <v>2</v>
      </c>
    </row>
    <row r="535" spans="1:5" x14ac:dyDescent="0.25">
      <c r="A535" s="6">
        <v>0.85833333333333328</v>
      </c>
      <c r="B535">
        <v>1</v>
      </c>
      <c r="C535">
        <v>2</v>
      </c>
      <c r="E535">
        <v>3</v>
      </c>
    </row>
    <row r="536" spans="1:5" x14ac:dyDescent="0.25">
      <c r="A536" s="6">
        <v>0.85972222222222228</v>
      </c>
      <c r="C536">
        <v>4</v>
      </c>
      <c r="E536">
        <v>4</v>
      </c>
    </row>
    <row r="537" spans="1:5" x14ac:dyDescent="0.25">
      <c r="A537" s="6">
        <v>0.8618055555555556</v>
      </c>
      <c r="B537">
        <v>1</v>
      </c>
      <c r="C537">
        <v>1</v>
      </c>
      <c r="E537">
        <v>2</v>
      </c>
    </row>
    <row r="538" spans="1:5" x14ac:dyDescent="0.25">
      <c r="A538" s="6">
        <v>0.86250000000000004</v>
      </c>
      <c r="B538">
        <v>1</v>
      </c>
      <c r="E538">
        <v>1</v>
      </c>
    </row>
    <row r="539" spans="1:5" x14ac:dyDescent="0.25">
      <c r="A539" s="6">
        <v>0.86319444444444449</v>
      </c>
      <c r="C539">
        <v>1</v>
      </c>
      <c r="E539">
        <v>1</v>
      </c>
    </row>
    <row r="540" spans="1:5" x14ac:dyDescent="0.25">
      <c r="A540" s="6">
        <v>0.86388888888888893</v>
      </c>
      <c r="C540">
        <v>1</v>
      </c>
      <c r="E540">
        <v>1</v>
      </c>
    </row>
    <row r="541" spans="1:5" x14ac:dyDescent="0.25">
      <c r="A541" s="6">
        <v>0.86458333333333337</v>
      </c>
      <c r="C541">
        <v>1</v>
      </c>
      <c r="E541">
        <v>1</v>
      </c>
    </row>
    <row r="542" spans="1:5" x14ac:dyDescent="0.25">
      <c r="A542" s="6">
        <v>0.8666666666666667</v>
      </c>
      <c r="D542">
        <v>1</v>
      </c>
      <c r="E542">
        <v>1</v>
      </c>
    </row>
    <row r="543" spans="1:5" x14ac:dyDescent="0.25">
      <c r="A543" s="6">
        <v>0.86736111111111114</v>
      </c>
      <c r="B543">
        <v>3</v>
      </c>
      <c r="C543">
        <v>1</v>
      </c>
      <c r="E543">
        <v>4</v>
      </c>
    </row>
    <row r="544" spans="1:5" x14ac:dyDescent="0.25">
      <c r="A544" s="6">
        <v>0.86875000000000002</v>
      </c>
      <c r="C544">
        <v>3</v>
      </c>
      <c r="E544">
        <v>3</v>
      </c>
    </row>
    <row r="545" spans="1:5" x14ac:dyDescent="0.25">
      <c r="A545" s="6">
        <v>0.87013888888888891</v>
      </c>
      <c r="C545">
        <v>1</v>
      </c>
      <c r="E545">
        <v>1</v>
      </c>
    </row>
    <row r="546" spans="1:5" x14ac:dyDescent="0.25">
      <c r="A546" s="6">
        <v>0.87083333333333335</v>
      </c>
      <c r="C546">
        <v>2</v>
      </c>
      <c r="E546">
        <v>2</v>
      </c>
    </row>
    <row r="547" spans="1:5" x14ac:dyDescent="0.25">
      <c r="A547" s="6">
        <v>0.87291666666666667</v>
      </c>
      <c r="C547">
        <v>1</v>
      </c>
      <c r="E547">
        <v>1</v>
      </c>
    </row>
    <row r="548" spans="1:5" x14ac:dyDescent="0.25">
      <c r="A548" s="6">
        <v>0.87361111111111112</v>
      </c>
      <c r="C548">
        <v>1</v>
      </c>
      <c r="E548">
        <v>1</v>
      </c>
    </row>
    <row r="549" spans="1:5" x14ac:dyDescent="0.25">
      <c r="A549" s="6">
        <v>0.87430555555555556</v>
      </c>
      <c r="C549">
        <v>1</v>
      </c>
      <c r="E549">
        <v>1</v>
      </c>
    </row>
    <row r="550" spans="1:5" x14ac:dyDescent="0.25">
      <c r="A550" s="6">
        <v>0.875</v>
      </c>
      <c r="C550">
        <v>1</v>
      </c>
      <c r="E550">
        <v>1</v>
      </c>
    </row>
    <row r="551" spans="1:5" x14ac:dyDescent="0.25">
      <c r="A551" s="6">
        <v>0.87638888888888888</v>
      </c>
      <c r="C551">
        <v>1</v>
      </c>
      <c r="E551">
        <v>1</v>
      </c>
    </row>
    <row r="552" spans="1:5" x14ac:dyDescent="0.25">
      <c r="A552" s="6">
        <v>0.87777777777777777</v>
      </c>
      <c r="C552">
        <v>2</v>
      </c>
      <c r="E552">
        <v>2</v>
      </c>
    </row>
    <row r="553" spans="1:5" x14ac:dyDescent="0.25">
      <c r="A553" s="6">
        <v>0.88055555555555554</v>
      </c>
      <c r="B553">
        <v>1</v>
      </c>
      <c r="C553">
        <v>1</v>
      </c>
      <c r="E553">
        <v>2</v>
      </c>
    </row>
    <row r="554" spans="1:5" x14ac:dyDescent="0.25">
      <c r="A554" s="6">
        <v>0.88124999999999998</v>
      </c>
      <c r="C554">
        <v>3</v>
      </c>
      <c r="E554">
        <v>3</v>
      </c>
    </row>
    <row r="555" spans="1:5" x14ac:dyDescent="0.25">
      <c r="A555" s="6">
        <v>0.88194444444444442</v>
      </c>
      <c r="B555">
        <v>1</v>
      </c>
      <c r="C555">
        <v>2</v>
      </c>
      <c r="E555">
        <v>3</v>
      </c>
    </row>
    <row r="556" spans="1:5" x14ac:dyDescent="0.25">
      <c r="A556" s="6">
        <v>0.88263888888888886</v>
      </c>
      <c r="C556">
        <v>2</v>
      </c>
      <c r="E556">
        <v>2</v>
      </c>
    </row>
    <row r="557" spans="1:5" x14ac:dyDescent="0.25">
      <c r="A557" s="6">
        <v>0.8833333333333333</v>
      </c>
      <c r="B557">
        <v>1</v>
      </c>
      <c r="E557">
        <v>1</v>
      </c>
    </row>
    <row r="558" spans="1:5" x14ac:dyDescent="0.25">
      <c r="A558" s="6">
        <v>0.88472222222222219</v>
      </c>
      <c r="C558">
        <v>1</v>
      </c>
      <c r="E558">
        <v>1</v>
      </c>
    </row>
    <row r="559" spans="1:5" x14ac:dyDescent="0.25">
      <c r="A559" s="6">
        <v>0.88541666666666663</v>
      </c>
      <c r="C559">
        <v>1</v>
      </c>
      <c r="E559">
        <v>1</v>
      </c>
    </row>
    <row r="560" spans="1:5" x14ac:dyDescent="0.25">
      <c r="A560" s="6">
        <v>0.88680555555555551</v>
      </c>
      <c r="C560">
        <v>1</v>
      </c>
      <c r="E560">
        <v>1</v>
      </c>
    </row>
    <row r="561" spans="1:5" x14ac:dyDescent="0.25">
      <c r="A561" s="6">
        <v>0.88749999999999996</v>
      </c>
      <c r="C561">
        <v>1</v>
      </c>
      <c r="E561">
        <v>1</v>
      </c>
    </row>
    <row r="562" spans="1:5" x14ac:dyDescent="0.25">
      <c r="A562" s="6">
        <v>0.8881944444444444</v>
      </c>
      <c r="C562">
        <v>4</v>
      </c>
      <c r="E562">
        <v>4</v>
      </c>
    </row>
    <row r="563" spans="1:5" x14ac:dyDescent="0.25">
      <c r="A563" s="6">
        <v>0.88888888888888884</v>
      </c>
      <c r="C563">
        <v>2</v>
      </c>
      <c r="E563">
        <v>2</v>
      </c>
    </row>
    <row r="564" spans="1:5" x14ac:dyDescent="0.25">
      <c r="A564" s="6">
        <v>0.88958333333333328</v>
      </c>
      <c r="C564">
        <v>1</v>
      </c>
      <c r="E564">
        <v>1</v>
      </c>
    </row>
    <row r="565" spans="1:5" x14ac:dyDescent="0.25">
      <c r="A565" s="6">
        <v>0.89027777777777772</v>
      </c>
      <c r="C565">
        <v>2</v>
      </c>
      <c r="E565">
        <v>2</v>
      </c>
    </row>
    <row r="566" spans="1:5" x14ac:dyDescent="0.25">
      <c r="A566" s="6">
        <v>0.89097222222222228</v>
      </c>
      <c r="C566">
        <v>1</v>
      </c>
      <c r="E566">
        <v>1</v>
      </c>
    </row>
    <row r="567" spans="1:5" x14ac:dyDescent="0.25">
      <c r="A567" s="6">
        <v>0.89236111111111116</v>
      </c>
      <c r="C567">
        <v>1</v>
      </c>
      <c r="E567">
        <v>1</v>
      </c>
    </row>
    <row r="568" spans="1:5" x14ac:dyDescent="0.25">
      <c r="A568" s="6">
        <v>0.8930555555555556</v>
      </c>
      <c r="C568">
        <v>2</v>
      </c>
      <c r="E568">
        <v>2</v>
      </c>
    </row>
    <row r="569" spans="1:5" x14ac:dyDescent="0.25">
      <c r="A569" s="6">
        <v>0.89375000000000004</v>
      </c>
      <c r="C569">
        <v>2</v>
      </c>
      <c r="E569">
        <v>2</v>
      </c>
    </row>
    <row r="570" spans="1:5" x14ac:dyDescent="0.25">
      <c r="A570" s="6">
        <v>0.89583333333333337</v>
      </c>
      <c r="B570">
        <v>1</v>
      </c>
      <c r="E570">
        <v>1</v>
      </c>
    </row>
    <row r="571" spans="1:5" x14ac:dyDescent="0.25">
      <c r="A571" s="6">
        <v>0.89652777777777781</v>
      </c>
      <c r="C571">
        <v>2</v>
      </c>
      <c r="E571">
        <v>2</v>
      </c>
    </row>
    <row r="572" spans="1:5" x14ac:dyDescent="0.25">
      <c r="A572" s="6">
        <v>0.89722222222222225</v>
      </c>
      <c r="B572">
        <v>1</v>
      </c>
      <c r="E572">
        <v>1</v>
      </c>
    </row>
    <row r="573" spans="1:5" x14ac:dyDescent="0.25">
      <c r="A573" s="6">
        <v>0.8979166666666667</v>
      </c>
      <c r="C573">
        <v>2</v>
      </c>
      <c r="E573">
        <v>2</v>
      </c>
    </row>
    <row r="574" spans="1:5" x14ac:dyDescent="0.25">
      <c r="A574" s="6">
        <v>0.89861111111111114</v>
      </c>
      <c r="B574">
        <v>1</v>
      </c>
      <c r="C574">
        <v>5</v>
      </c>
      <c r="E574">
        <v>6</v>
      </c>
    </row>
    <row r="575" spans="1:5" x14ac:dyDescent="0.25">
      <c r="A575" s="6">
        <v>0.89930555555555558</v>
      </c>
      <c r="C575">
        <v>2</v>
      </c>
      <c r="E575">
        <v>2</v>
      </c>
    </row>
    <row r="576" spans="1:5" x14ac:dyDescent="0.25">
      <c r="A576" s="6">
        <v>0.9</v>
      </c>
      <c r="C576">
        <v>1</v>
      </c>
      <c r="E576">
        <v>1</v>
      </c>
    </row>
    <row r="577" spans="1:5" x14ac:dyDescent="0.25">
      <c r="A577" s="6">
        <v>0.90277777777777779</v>
      </c>
      <c r="C577">
        <v>1</v>
      </c>
      <c r="E577">
        <v>1</v>
      </c>
    </row>
    <row r="578" spans="1:5" x14ac:dyDescent="0.25">
      <c r="A578" s="6">
        <v>0.90347222222222223</v>
      </c>
      <c r="C578">
        <v>3</v>
      </c>
      <c r="E578">
        <v>3</v>
      </c>
    </row>
    <row r="579" spans="1:5" x14ac:dyDescent="0.25">
      <c r="A579" s="6">
        <v>0.90416666666666667</v>
      </c>
      <c r="C579">
        <v>1</v>
      </c>
      <c r="E579">
        <v>1</v>
      </c>
    </row>
    <row r="580" spans="1:5" x14ac:dyDescent="0.25">
      <c r="A580" s="6">
        <v>0.90486111111111112</v>
      </c>
      <c r="C580">
        <v>3</v>
      </c>
      <c r="E580">
        <v>3</v>
      </c>
    </row>
    <row r="581" spans="1:5" x14ac:dyDescent="0.25">
      <c r="A581" s="6">
        <v>0.90555555555555556</v>
      </c>
      <c r="C581">
        <v>3</v>
      </c>
      <c r="E581">
        <v>3</v>
      </c>
    </row>
    <row r="582" spans="1:5" x14ac:dyDescent="0.25">
      <c r="A582" s="6">
        <v>0.90694444444444444</v>
      </c>
      <c r="B582">
        <v>1</v>
      </c>
      <c r="C582">
        <v>1</v>
      </c>
      <c r="E582">
        <v>2</v>
      </c>
    </row>
    <row r="583" spans="1:5" x14ac:dyDescent="0.25">
      <c r="A583" s="6">
        <v>0.90763888888888888</v>
      </c>
      <c r="C583">
        <v>1</v>
      </c>
      <c r="E583">
        <v>1</v>
      </c>
    </row>
    <row r="584" spans="1:5" x14ac:dyDescent="0.25">
      <c r="A584" s="6">
        <v>0.90833333333333333</v>
      </c>
      <c r="B584">
        <v>1</v>
      </c>
      <c r="C584">
        <v>2</v>
      </c>
      <c r="E584">
        <v>3</v>
      </c>
    </row>
    <row r="585" spans="1:5" x14ac:dyDescent="0.25">
      <c r="A585" s="6">
        <v>0.90972222222222221</v>
      </c>
      <c r="C585">
        <v>1</v>
      </c>
      <c r="E585">
        <v>1</v>
      </c>
    </row>
    <row r="586" spans="1:5" x14ac:dyDescent="0.25">
      <c r="A586" s="6">
        <v>0.91041666666666665</v>
      </c>
      <c r="B586">
        <v>1</v>
      </c>
      <c r="E586">
        <v>1</v>
      </c>
    </row>
    <row r="587" spans="1:5" x14ac:dyDescent="0.25">
      <c r="A587" s="6">
        <v>0.91319444444444442</v>
      </c>
      <c r="C587">
        <v>5</v>
      </c>
      <c r="E587">
        <v>5</v>
      </c>
    </row>
    <row r="588" spans="1:5" x14ac:dyDescent="0.25">
      <c r="A588" s="6">
        <v>0.91388888888888886</v>
      </c>
      <c r="C588">
        <v>3</v>
      </c>
      <c r="E588">
        <v>3</v>
      </c>
    </row>
    <row r="589" spans="1:5" x14ac:dyDescent="0.25">
      <c r="A589" s="6">
        <v>0.91527777777777775</v>
      </c>
      <c r="C589">
        <v>1</v>
      </c>
      <c r="E589">
        <v>1</v>
      </c>
    </row>
    <row r="590" spans="1:5" x14ac:dyDescent="0.25">
      <c r="A590" s="6">
        <v>0.91666666666666663</v>
      </c>
      <c r="C590">
        <v>1</v>
      </c>
      <c r="E590">
        <v>1</v>
      </c>
    </row>
    <row r="591" spans="1:5" x14ac:dyDescent="0.25">
      <c r="A591" s="6">
        <v>0.91736111111111107</v>
      </c>
      <c r="C591">
        <v>2</v>
      </c>
      <c r="E591">
        <v>2</v>
      </c>
    </row>
    <row r="592" spans="1:5" x14ac:dyDescent="0.25">
      <c r="A592" s="6">
        <v>0.91805555555555551</v>
      </c>
      <c r="C592">
        <v>1</v>
      </c>
      <c r="E592">
        <v>1</v>
      </c>
    </row>
    <row r="593" spans="1:5" x14ac:dyDescent="0.25">
      <c r="A593" s="6">
        <v>0.91874999999999996</v>
      </c>
      <c r="C593">
        <v>1</v>
      </c>
      <c r="E593">
        <v>1</v>
      </c>
    </row>
    <row r="594" spans="1:5" x14ac:dyDescent="0.25">
      <c r="A594" s="6">
        <v>0.9194444444444444</v>
      </c>
      <c r="B594">
        <v>1</v>
      </c>
      <c r="E594">
        <v>1</v>
      </c>
    </row>
    <row r="595" spans="1:5" x14ac:dyDescent="0.25">
      <c r="A595" s="6">
        <v>0.92013888888888884</v>
      </c>
      <c r="C595">
        <v>1</v>
      </c>
      <c r="E595">
        <v>1</v>
      </c>
    </row>
    <row r="596" spans="1:5" x14ac:dyDescent="0.25">
      <c r="A596" s="6">
        <v>0.92152777777777772</v>
      </c>
      <c r="B596">
        <v>1</v>
      </c>
      <c r="E596">
        <v>1</v>
      </c>
    </row>
    <row r="597" spans="1:5" x14ac:dyDescent="0.25">
      <c r="A597" s="6">
        <v>0.92222222222222228</v>
      </c>
      <c r="C597">
        <v>1</v>
      </c>
      <c r="E597">
        <v>1</v>
      </c>
    </row>
    <row r="598" spans="1:5" x14ac:dyDescent="0.25">
      <c r="A598" s="6">
        <v>0.92361111111111116</v>
      </c>
      <c r="B598">
        <v>1</v>
      </c>
      <c r="C598">
        <v>2</v>
      </c>
      <c r="E598">
        <v>3</v>
      </c>
    </row>
    <row r="599" spans="1:5" x14ac:dyDescent="0.25">
      <c r="A599" s="6">
        <v>0.92500000000000004</v>
      </c>
      <c r="C599">
        <v>1</v>
      </c>
      <c r="E599">
        <v>1</v>
      </c>
    </row>
    <row r="600" spans="1:5" x14ac:dyDescent="0.25">
      <c r="A600" s="6">
        <v>0.92569444444444449</v>
      </c>
      <c r="C600">
        <v>1</v>
      </c>
      <c r="E600">
        <v>1</v>
      </c>
    </row>
    <row r="601" spans="1:5" x14ac:dyDescent="0.25">
      <c r="A601" s="6">
        <v>0.92708333333333337</v>
      </c>
      <c r="C601">
        <v>3</v>
      </c>
      <c r="E601">
        <v>3</v>
      </c>
    </row>
    <row r="602" spans="1:5" x14ac:dyDescent="0.25">
      <c r="A602" s="6">
        <v>0.92777777777777781</v>
      </c>
      <c r="C602">
        <v>1</v>
      </c>
      <c r="E602">
        <v>1</v>
      </c>
    </row>
    <row r="603" spans="1:5" x14ac:dyDescent="0.25">
      <c r="A603" s="6">
        <v>0.92847222222222225</v>
      </c>
      <c r="C603">
        <v>3</v>
      </c>
      <c r="E603">
        <v>3</v>
      </c>
    </row>
    <row r="604" spans="1:5" x14ac:dyDescent="0.25">
      <c r="A604" s="6">
        <v>0.9291666666666667</v>
      </c>
      <c r="C604">
        <v>2</v>
      </c>
      <c r="E604">
        <v>2</v>
      </c>
    </row>
    <row r="605" spans="1:5" x14ac:dyDescent="0.25">
      <c r="A605" s="6">
        <v>0.92986111111111114</v>
      </c>
      <c r="B605">
        <v>1</v>
      </c>
      <c r="C605">
        <v>2</v>
      </c>
      <c r="E605">
        <v>3</v>
      </c>
    </row>
    <row r="606" spans="1:5" x14ac:dyDescent="0.25">
      <c r="A606" s="6">
        <v>0.93055555555555558</v>
      </c>
      <c r="C606">
        <v>3</v>
      </c>
      <c r="E606">
        <v>3</v>
      </c>
    </row>
    <row r="607" spans="1:5" x14ac:dyDescent="0.25">
      <c r="A607" s="6">
        <v>0.93263888888888891</v>
      </c>
      <c r="B607">
        <v>1</v>
      </c>
      <c r="C607">
        <v>1</v>
      </c>
      <c r="E607">
        <v>2</v>
      </c>
    </row>
    <row r="608" spans="1:5" x14ac:dyDescent="0.25">
      <c r="A608" s="6">
        <v>0.93472222222222223</v>
      </c>
      <c r="C608">
        <v>1</v>
      </c>
      <c r="E608">
        <v>1</v>
      </c>
    </row>
    <row r="609" spans="1:5" x14ac:dyDescent="0.25">
      <c r="A609" s="6">
        <v>0.93541666666666667</v>
      </c>
      <c r="C609">
        <v>2</v>
      </c>
      <c r="E609">
        <v>2</v>
      </c>
    </row>
    <row r="610" spans="1:5" x14ac:dyDescent="0.25">
      <c r="A610" s="6">
        <v>0.93680555555555556</v>
      </c>
      <c r="C610">
        <v>2</v>
      </c>
      <c r="E610">
        <v>2</v>
      </c>
    </row>
    <row r="611" spans="1:5" x14ac:dyDescent="0.25">
      <c r="A611" s="6">
        <v>0.93888888888888888</v>
      </c>
      <c r="C611">
        <v>1</v>
      </c>
      <c r="E611">
        <v>1</v>
      </c>
    </row>
    <row r="612" spans="1:5" x14ac:dyDescent="0.25">
      <c r="A612" s="6">
        <v>0.94027777777777777</v>
      </c>
      <c r="C612">
        <v>2</v>
      </c>
      <c r="E612">
        <v>2</v>
      </c>
    </row>
    <row r="613" spans="1:5" x14ac:dyDescent="0.25">
      <c r="A613" s="6">
        <v>0.94097222222222221</v>
      </c>
      <c r="C613">
        <v>1</v>
      </c>
      <c r="E613">
        <v>1</v>
      </c>
    </row>
    <row r="614" spans="1:5" x14ac:dyDescent="0.25">
      <c r="A614" s="6">
        <v>0.94166666666666665</v>
      </c>
      <c r="C614">
        <v>1</v>
      </c>
      <c r="E614">
        <v>1</v>
      </c>
    </row>
    <row r="615" spans="1:5" x14ac:dyDescent="0.25">
      <c r="A615" s="6">
        <v>0.94305555555555554</v>
      </c>
      <c r="C615">
        <v>1</v>
      </c>
      <c r="E615">
        <v>1</v>
      </c>
    </row>
    <row r="616" spans="1:5" x14ac:dyDescent="0.25">
      <c r="A616" s="6">
        <v>0.94374999999999998</v>
      </c>
      <c r="C616">
        <v>1</v>
      </c>
      <c r="E616">
        <v>1</v>
      </c>
    </row>
    <row r="617" spans="1:5" x14ac:dyDescent="0.25">
      <c r="A617" s="6">
        <v>0.94513888888888886</v>
      </c>
      <c r="C617">
        <v>2</v>
      </c>
      <c r="E617">
        <v>2</v>
      </c>
    </row>
    <row r="618" spans="1:5" x14ac:dyDescent="0.25">
      <c r="A618" s="6">
        <v>0.94652777777777775</v>
      </c>
      <c r="C618">
        <v>1</v>
      </c>
      <c r="E618">
        <v>1</v>
      </c>
    </row>
    <row r="619" spans="1:5" x14ac:dyDescent="0.25">
      <c r="A619" s="6">
        <v>0.94791666666666663</v>
      </c>
      <c r="C619">
        <v>1</v>
      </c>
      <c r="E619">
        <v>1</v>
      </c>
    </row>
    <row r="620" spans="1:5" x14ac:dyDescent="0.25">
      <c r="A620" s="6">
        <v>0.94861111111111107</v>
      </c>
      <c r="C620">
        <v>1</v>
      </c>
      <c r="E620">
        <v>1</v>
      </c>
    </row>
    <row r="621" spans="1:5" x14ac:dyDescent="0.25">
      <c r="A621" s="6">
        <v>0.9506944444444444</v>
      </c>
      <c r="C621">
        <v>1</v>
      </c>
      <c r="E621">
        <v>1</v>
      </c>
    </row>
    <row r="622" spans="1:5" x14ac:dyDescent="0.25">
      <c r="A622" s="6">
        <v>0.95138888888888884</v>
      </c>
      <c r="C622">
        <v>1</v>
      </c>
      <c r="E622">
        <v>1</v>
      </c>
    </row>
    <row r="623" spans="1:5" x14ac:dyDescent="0.25">
      <c r="A623" s="6">
        <v>0.95208333333333328</v>
      </c>
      <c r="C623">
        <v>1</v>
      </c>
      <c r="E623">
        <v>1</v>
      </c>
    </row>
    <row r="624" spans="1:5" x14ac:dyDescent="0.25">
      <c r="A624" s="6">
        <v>0.95277777777777772</v>
      </c>
      <c r="C624">
        <v>1</v>
      </c>
      <c r="E624">
        <v>1</v>
      </c>
    </row>
    <row r="625" spans="1:5" x14ac:dyDescent="0.25">
      <c r="A625" s="6">
        <v>0.95347222222222228</v>
      </c>
      <c r="C625">
        <v>2</v>
      </c>
      <c r="E625">
        <v>2</v>
      </c>
    </row>
    <row r="626" spans="1:5" x14ac:dyDescent="0.25">
      <c r="A626" s="6">
        <v>0.95486111111111116</v>
      </c>
      <c r="C626">
        <v>1</v>
      </c>
      <c r="E626">
        <v>1</v>
      </c>
    </row>
    <row r="627" spans="1:5" x14ac:dyDescent="0.25">
      <c r="A627" s="6">
        <v>0.9555555555555556</v>
      </c>
      <c r="C627">
        <v>1</v>
      </c>
      <c r="E627">
        <v>1</v>
      </c>
    </row>
    <row r="628" spans="1:5" x14ac:dyDescent="0.25">
      <c r="A628" s="6">
        <v>0.95694444444444449</v>
      </c>
      <c r="C628">
        <v>1</v>
      </c>
      <c r="E628">
        <v>1</v>
      </c>
    </row>
    <row r="629" spans="1:5" x14ac:dyDescent="0.25">
      <c r="A629" s="6">
        <v>0.95972222222222225</v>
      </c>
      <c r="C629">
        <v>1</v>
      </c>
      <c r="E629">
        <v>1</v>
      </c>
    </row>
    <row r="630" spans="1:5" x14ac:dyDescent="0.25">
      <c r="A630" s="6">
        <v>0.96111111111111114</v>
      </c>
      <c r="C630">
        <v>1</v>
      </c>
      <c r="E630">
        <v>1</v>
      </c>
    </row>
    <row r="631" spans="1:5" x14ac:dyDescent="0.25">
      <c r="A631" s="6">
        <v>0.96180555555555558</v>
      </c>
      <c r="C631">
        <v>2</v>
      </c>
      <c r="E631">
        <v>2</v>
      </c>
    </row>
    <row r="632" spans="1:5" x14ac:dyDescent="0.25">
      <c r="A632" s="6">
        <v>0.96458333333333335</v>
      </c>
      <c r="C632">
        <v>1</v>
      </c>
      <c r="E632">
        <v>1</v>
      </c>
    </row>
    <row r="633" spans="1:5" x14ac:dyDescent="0.25">
      <c r="A633" s="6">
        <v>0.96527777777777779</v>
      </c>
      <c r="C633">
        <v>2</v>
      </c>
      <c r="E633">
        <v>2</v>
      </c>
    </row>
    <row r="634" spans="1:5" x14ac:dyDescent="0.25">
      <c r="A634" s="6">
        <v>0.96597222222222223</v>
      </c>
      <c r="C634">
        <v>2</v>
      </c>
      <c r="E634">
        <v>2</v>
      </c>
    </row>
    <row r="635" spans="1:5" x14ac:dyDescent="0.25">
      <c r="A635" s="6">
        <v>0.96736111111111112</v>
      </c>
      <c r="C635">
        <v>1</v>
      </c>
      <c r="E635">
        <v>1</v>
      </c>
    </row>
    <row r="636" spans="1:5" x14ac:dyDescent="0.25">
      <c r="A636" s="6">
        <v>0.96944444444444444</v>
      </c>
      <c r="C636">
        <v>1</v>
      </c>
      <c r="E636">
        <v>1</v>
      </c>
    </row>
    <row r="637" spans="1:5" x14ac:dyDescent="0.25">
      <c r="A637" s="6">
        <v>0.97013888888888888</v>
      </c>
      <c r="C637">
        <v>3</v>
      </c>
      <c r="E637">
        <v>3</v>
      </c>
    </row>
    <row r="638" spans="1:5" x14ac:dyDescent="0.25">
      <c r="A638" s="6">
        <v>0.97361111111111109</v>
      </c>
      <c r="C638">
        <v>2</v>
      </c>
      <c r="D638">
        <v>1</v>
      </c>
      <c r="E638">
        <v>3</v>
      </c>
    </row>
    <row r="639" spans="1:5" x14ac:dyDescent="0.25">
      <c r="A639" s="6">
        <v>0.97430555555555554</v>
      </c>
      <c r="C639">
        <v>1</v>
      </c>
      <c r="E639">
        <v>1</v>
      </c>
    </row>
    <row r="640" spans="1:5" x14ac:dyDescent="0.25">
      <c r="A640" s="6">
        <v>0.97499999999999998</v>
      </c>
      <c r="C640">
        <v>3</v>
      </c>
      <c r="E640">
        <v>3</v>
      </c>
    </row>
    <row r="641" spans="1:5" x14ac:dyDescent="0.25">
      <c r="A641" s="6">
        <v>0.97569444444444442</v>
      </c>
      <c r="C641">
        <v>1</v>
      </c>
      <c r="E641">
        <v>1</v>
      </c>
    </row>
    <row r="642" spans="1:5" x14ac:dyDescent="0.25">
      <c r="A642" s="6">
        <v>0.9770833333333333</v>
      </c>
      <c r="C642">
        <v>3</v>
      </c>
      <c r="E642">
        <v>3</v>
      </c>
    </row>
    <row r="643" spans="1:5" x14ac:dyDescent="0.25">
      <c r="A643" s="6">
        <v>0.97777777777777775</v>
      </c>
      <c r="C643">
        <v>1</v>
      </c>
      <c r="E643">
        <v>1</v>
      </c>
    </row>
    <row r="644" spans="1:5" x14ac:dyDescent="0.25">
      <c r="A644" s="6">
        <v>0.98055555555555551</v>
      </c>
      <c r="C644">
        <v>1</v>
      </c>
      <c r="E644">
        <v>1</v>
      </c>
    </row>
    <row r="645" spans="1:5" x14ac:dyDescent="0.25">
      <c r="A645" s="6">
        <v>0.98124999999999996</v>
      </c>
      <c r="B645">
        <v>1</v>
      </c>
      <c r="C645">
        <v>1</v>
      </c>
      <c r="E645">
        <v>2</v>
      </c>
    </row>
    <row r="646" spans="1:5" x14ac:dyDescent="0.25">
      <c r="A646" s="6">
        <v>0.9819444444444444</v>
      </c>
      <c r="C646">
        <v>1</v>
      </c>
      <c r="E646">
        <v>1</v>
      </c>
    </row>
    <row r="647" spans="1:5" x14ac:dyDescent="0.25">
      <c r="A647" s="6">
        <v>0.98263888888888884</v>
      </c>
      <c r="C647">
        <v>3</v>
      </c>
      <c r="E647">
        <v>3</v>
      </c>
    </row>
    <row r="648" spans="1:5" x14ac:dyDescent="0.25">
      <c r="A648" s="6">
        <v>0.98402777777777772</v>
      </c>
      <c r="C648">
        <v>1</v>
      </c>
      <c r="E648">
        <v>1</v>
      </c>
    </row>
    <row r="649" spans="1:5" x14ac:dyDescent="0.25">
      <c r="A649" s="6">
        <v>0.98541666666666672</v>
      </c>
      <c r="B649">
        <v>1</v>
      </c>
      <c r="E649">
        <v>1</v>
      </c>
    </row>
    <row r="650" spans="1:5" x14ac:dyDescent="0.25">
      <c r="A650" s="6">
        <v>0.98750000000000004</v>
      </c>
      <c r="B650">
        <v>1</v>
      </c>
      <c r="E650">
        <v>1</v>
      </c>
    </row>
    <row r="651" spans="1:5" x14ac:dyDescent="0.25">
      <c r="A651" s="6">
        <v>0.98819444444444449</v>
      </c>
      <c r="C651">
        <v>1</v>
      </c>
      <c r="E651">
        <v>1</v>
      </c>
    </row>
    <row r="652" spans="1:5" x14ac:dyDescent="0.25">
      <c r="A652" s="6">
        <v>0.98958333333333337</v>
      </c>
      <c r="C652">
        <v>1</v>
      </c>
      <c r="E652">
        <v>1</v>
      </c>
    </row>
    <row r="653" spans="1:5" x14ac:dyDescent="0.25">
      <c r="A653" s="6">
        <v>0.99305555555555558</v>
      </c>
      <c r="B653">
        <v>1</v>
      </c>
      <c r="C653">
        <v>2</v>
      </c>
      <c r="E653">
        <v>3</v>
      </c>
    </row>
    <row r="654" spans="1:5" x14ac:dyDescent="0.25">
      <c r="A654" s="6">
        <v>0.99583333333333335</v>
      </c>
      <c r="B654">
        <v>1</v>
      </c>
      <c r="E654">
        <v>1</v>
      </c>
    </row>
    <row r="655" spans="1:5" x14ac:dyDescent="0.25">
      <c r="A655" s="6">
        <v>0.99652777777777779</v>
      </c>
      <c r="C655">
        <v>2</v>
      </c>
      <c r="E655">
        <v>2</v>
      </c>
    </row>
    <row r="656" spans="1:5" x14ac:dyDescent="0.25">
      <c r="A656" s="6">
        <v>0.99861111111111112</v>
      </c>
      <c r="C656">
        <v>1</v>
      </c>
      <c r="E656">
        <v>1</v>
      </c>
    </row>
    <row r="657" spans="1:5" x14ac:dyDescent="0.25">
      <c r="A657" s="6">
        <v>0.99930555555555556</v>
      </c>
      <c r="C657">
        <v>1</v>
      </c>
      <c r="E657">
        <v>1</v>
      </c>
    </row>
    <row r="658" spans="1:5" x14ac:dyDescent="0.25">
      <c r="A658" s="5" t="s">
        <v>1089</v>
      </c>
      <c r="B658">
        <v>133</v>
      </c>
      <c r="C658">
        <v>837</v>
      </c>
      <c r="D658">
        <v>30</v>
      </c>
      <c r="E658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37D3-DA3E-4CD2-81BE-89901C175E07}">
  <dimension ref="A1:C14"/>
  <sheetViews>
    <sheetView topLeftCell="B1" workbookViewId="0">
      <selection activeCell="H41" sqref="H41"/>
    </sheetView>
  </sheetViews>
  <sheetFormatPr defaultRowHeight="15" x14ac:dyDescent="0.25"/>
  <cols>
    <col min="1" max="1" width="0" hidden="1" customWidth="1"/>
  </cols>
  <sheetData>
    <row r="1" spans="1:3" x14ac:dyDescent="0.25">
      <c r="A1" t="s">
        <v>1104</v>
      </c>
      <c r="B1" t="s">
        <v>1105</v>
      </c>
      <c r="C1" t="s">
        <v>1106</v>
      </c>
    </row>
    <row r="2" spans="1:3" x14ac:dyDescent="0.25">
      <c r="A2" t="s">
        <v>16</v>
      </c>
      <c r="B2" t="s">
        <v>1107</v>
      </c>
      <c r="C2">
        <f>3+C7+C11</f>
        <v>251</v>
      </c>
    </row>
    <row r="3" spans="1:3" x14ac:dyDescent="0.25">
      <c r="A3" t="s">
        <v>16</v>
      </c>
      <c r="B3" t="s">
        <v>1108</v>
      </c>
      <c r="C3">
        <f>4+C6+C10</f>
        <v>106</v>
      </c>
    </row>
    <row r="4" spans="1:3" x14ac:dyDescent="0.25">
      <c r="A4" t="s">
        <v>16</v>
      </c>
      <c r="B4" t="s">
        <v>1109</v>
      </c>
      <c r="C4">
        <f>10+C9+C12</f>
        <v>294</v>
      </c>
    </row>
    <row r="5" spans="1:3" x14ac:dyDescent="0.25">
      <c r="A5" t="s">
        <v>16</v>
      </c>
      <c r="B5" t="s">
        <v>1110</v>
      </c>
      <c r="C5">
        <f>13+C8+C12</f>
        <v>274</v>
      </c>
    </row>
    <row r="6" spans="1:3" hidden="1" x14ac:dyDescent="0.25">
      <c r="A6" t="s">
        <v>24</v>
      </c>
      <c r="B6" t="s">
        <v>1108</v>
      </c>
      <c r="C6">
        <v>18</v>
      </c>
    </row>
    <row r="7" spans="1:3" hidden="1" x14ac:dyDescent="0.25">
      <c r="A7" t="s">
        <v>24</v>
      </c>
      <c r="B7" t="s">
        <v>1107</v>
      </c>
      <c r="C7">
        <v>30</v>
      </c>
    </row>
    <row r="8" spans="1:3" hidden="1" x14ac:dyDescent="0.25">
      <c r="A8" t="s">
        <v>24</v>
      </c>
      <c r="B8" t="s">
        <v>1110</v>
      </c>
      <c r="C8">
        <v>31</v>
      </c>
    </row>
    <row r="9" spans="1:3" hidden="1" x14ac:dyDescent="0.25">
      <c r="A9" t="s">
        <v>24</v>
      </c>
      <c r="B9" t="s">
        <v>1109</v>
      </c>
      <c r="C9">
        <v>54</v>
      </c>
    </row>
    <row r="10" spans="1:3" hidden="1" x14ac:dyDescent="0.25">
      <c r="A10" t="s">
        <v>38</v>
      </c>
      <c r="B10" t="s">
        <v>1108</v>
      </c>
      <c r="C10">
        <v>84</v>
      </c>
    </row>
    <row r="11" spans="1:3" hidden="1" x14ac:dyDescent="0.25">
      <c r="A11" t="s">
        <v>38</v>
      </c>
      <c r="B11" t="s">
        <v>1107</v>
      </c>
      <c r="C11">
        <v>218</v>
      </c>
    </row>
    <row r="12" spans="1:3" hidden="1" x14ac:dyDescent="0.25">
      <c r="A12" t="s">
        <v>38</v>
      </c>
      <c r="B12" t="s">
        <v>1110</v>
      </c>
      <c r="C12">
        <v>230</v>
      </c>
    </row>
    <row r="13" spans="1:3" hidden="1" x14ac:dyDescent="0.25">
      <c r="A13" t="s">
        <v>38</v>
      </c>
      <c r="B13" t="s">
        <v>1109</v>
      </c>
      <c r="C13">
        <v>305</v>
      </c>
    </row>
    <row r="14" spans="1:3" hidden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D55B-73B6-4C6D-AF25-439440696BD6}">
  <dimension ref="A3:H23"/>
  <sheetViews>
    <sheetView workbookViewId="0">
      <selection activeCell="A3" sqref="A3:G22"/>
    </sheetView>
  </sheetViews>
  <sheetFormatPr defaultRowHeight="15" x14ac:dyDescent="0.25"/>
  <cols>
    <col min="1" max="1" width="29.85546875" bestFit="1" customWidth="1"/>
    <col min="2" max="2" width="16.85546875" bestFit="1" customWidth="1"/>
    <col min="3" max="3" width="9" bestFit="1" customWidth="1"/>
    <col min="4" max="4" width="12.140625" bestFit="1" customWidth="1"/>
    <col min="5" max="6" width="5.85546875" bestFit="1" customWidth="1"/>
    <col min="7" max="7" width="6" bestFit="1" customWidth="1"/>
    <col min="8" max="9" width="11.28515625" bestFit="1" customWidth="1"/>
  </cols>
  <sheetData>
    <row r="3" spans="1:8" x14ac:dyDescent="0.25">
      <c r="A3" s="4" t="s">
        <v>1102</v>
      </c>
      <c r="B3" s="4" t="s">
        <v>1103</v>
      </c>
    </row>
    <row r="4" spans="1:8" x14ac:dyDescent="0.25">
      <c r="A4" s="4" t="s">
        <v>1087</v>
      </c>
      <c r="B4" t="s">
        <v>39</v>
      </c>
      <c r="C4" t="s">
        <v>96</v>
      </c>
      <c r="D4" t="s">
        <v>106</v>
      </c>
      <c r="E4" t="s">
        <v>16</v>
      </c>
      <c r="F4" t="s">
        <v>89</v>
      </c>
      <c r="G4" t="s">
        <v>25</v>
      </c>
      <c r="H4" t="s">
        <v>1089</v>
      </c>
    </row>
    <row r="5" spans="1:8" x14ac:dyDescent="0.25">
      <c r="A5" s="5" t="s">
        <v>129</v>
      </c>
      <c r="B5">
        <v>69</v>
      </c>
      <c r="C5">
        <v>8</v>
      </c>
      <c r="D5">
        <v>4</v>
      </c>
      <c r="E5">
        <v>6</v>
      </c>
      <c r="F5">
        <v>1</v>
      </c>
      <c r="G5">
        <v>3</v>
      </c>
      <c r="H5">
        <v>91</v>
      </c>
    </row>
    <row r="6" spans="1:8" x14ac:dyDescent="0.25">
      <c r="A6" s="5" t="s">
        <v>30</v>
      </c>
      <c r="B6">
        <v>36</v>
      </c>
      <c r="C6">
        <v>18</v>
      </c>
      <c r="D6">
        <v>10</v>
      </c>
      <c r="E6">
        <v>12</v>
      </c>
      <c r="G6">
        <v>11</v>
      </c>
      <c r="H6">
        <v>87</v>
      </c>
    </row>
    <row r="7" spans="1:8" x14ac:dyDescent="0.25">
      <c r="A7" s="5" t="s">
        <v>69</v>
      </c>
      <c r="B7">
        <v>3</v>
      </c>
      <c r="E7">
        <v>1</v>
      </c>
      <c r="G7">
        <v>2</v>
      </c>
      <c r="H7">
        <v>6</v>
      </c>
    </row>
    <row r="8" spans="1:8" x14ac:dyDescent="0.25">
      <c r="A8" s="5" t="s">
        <v>84</v>
      </c>
      <c r="B8">
        <v>31</v>
      </c>
      <c r="C8">
        <v>22</v>
      </c>
      <c r="D8">
        <v>4</v>
      </c>
      <c r="E8">
        <v>15</v>
      </c>
      <c r="G8">
        <v>13</v>
      </c>
      <c r="H8">
        <v>85</v>
      </c>
    </row>
    <row r="9" spans="1:8" x14ac:dyDescent="0.25">
      <c r="A9" s="5" t="s">
        <v>32</v>
      </c>
      <c r="B9">
        <v>89</v>
      </c>
      <c r="C9">
        <v>43</v>
      </c>
      <c r="D9">
        <v>5</v>
      </c>
      <c r="E9">
        <v>11</v>
      </c>
      <c r="G9">
        <v>6</v>
      </c>
      <c r="H9">
        <v>154</v>
      </c>
    </row>
    <row r="10" spans="1:8" x14ac:dyDescent="0.25">
      <c r="A10" s="5" t="s">
        <v>169</v>
      </c>
      <c r="B10">
        <v>18</v>
      </c>
      <c r="C10">
        <v>10</v>
      </c>
      <c r="E10">
        <v>6</v>
      </c>
      <c r="F10">
        <v>1</v>
      </c>
      <c r="G10">
        <v>4</v>
      </c>
      <c r="H10">
        <v>39</v>
      </c>
    </row>
    <row r="11" spans="1:8" x14ac:dyDescent="0.25">
      <c r="A11" s="5" t="s">
        <v>186</v>
      </c>
      <c r="B11">
        <v>4</v>
      </c>
      <c r="C11">
        <v>7</v>
      </c>
      <c r="D11">
        <v>1</v>
      </c>
      <c r="E11">
        <v>3</v>
      </c>
      <c r="G11">
        <v>2</v>
      </c>
      <c r="H11">
        <v>17</v>
      </c>
    </row>
    <row r="12" spans="1:8" x14ac:dyDescent="0.25">
      <c r="A12" s="5" t="s">
        <v>62</v>
      </c>
      <c r="B12">
        <v>7</v>
      </c>
      <c r="C12">
        <v>7</v>
      </c>
      <c r="D12">
        <v>1</v>
      </c>
      <c r="E12">
        <v>2</v>
      </c>
      <c r="F12">
        <v>2</v>
      </c>
      <c r="G12">
        <v>8</v>
      </c>
      <c r="H12">
        <v>27</v>
      </c>
    </row>
    <row r="13" spans="1:8" x14ac:dyDescent="0.25">
      <c r="A13" s="5" t="s">
        <v>18</v>
      </c>
      <c r="B13">
        <v>13</v>
      </c>
      <c r="C13">
        <v>21</v>
      </c>
      <c r="D13">
        <v>28</v>
      </c>
      <c r="E13">
        <v>10</v>
      </c>
      <c r="F13">
        <v>2</v>
      </c>
      <c r="G13">
        <v>9</v>
      </c>
      <c r="H13">
        <v>83</v>
      </c>
    </row>
    <row r="14" spans="1:8" x14ac:dyDescent="0.25">
      <c r="A14" s="5" t="s">
        <v>421</v>
      </c>
      <c r="B14">
        <v>2</v>
      </c>
      <c r="C14">
        <v>1</v>
      </c>
      <c r="E14">
        <v>1</v>
      </c>
      <c r="H14">
        <v>4</v>
      </c>
    </row>
    <row r="15" spans="1:8" x14ac:dyDescent="0.25">
      <c r="A15" s="5" t="s">
        <v>1041</v>
      </c>
      <c r="B15">
        <v>1</v>
      </c>
      <c r="H15">
        <v>1</v>
      </c>
    </row>
    <row r="16" spans="1:8" x14ac:dyDescent="0.25">
      <c r="A16" s="5" t="s">
        <v>480</v>
      </c>
      <c r="C16">
        <v>1</v>
      </c>
      <c r="F16">
        <v>1</v>
      </c>
      <c r="H16">
        <v>2</v>
      </c>
    </row>
    <row r="17" spans="1:8" x14ac:dyDescent="0.25">
      <c r="A17" s="5" t="s">
        <v>152</v>
      </c>
      <c r="B17">
        <v>11</v>
      </c>
      <c r="D17">
        <v>1</v>
      </c>
      <c r="G17">
        <v>2</v>
      </c>
      <c r="H17">
        <v>14</v>
      </c>
    </row>
    <row r="18" spans="1:8" x14ac:dyDescent="0.25">
      <c r="A18" s="5" t="s">
        <v>28</v>
      </c>
      <c r="B18">
        <v>11</v>
      </c>
      <c r="C18">
        <v>2</v>
      </c>
      <c r="D18">
        <v>3</v>
      </c>
      <c r="E18">
        <v>1</v>
      </c>
      <c r="G18">
        <v>5</v>
      </c>
      <c r="H18">
        <v>22</v>
      </c>
    </row>
    <row r="19" spans="1:8" x14ac:dyDescent="0.25">
      <c r="A19" s="5" t="s">
        <v>54</v>
      </c>
      <c r="B19">
        <v>47</v>
      </c>
      <c r="C19">
        <v>20</v>
      </c>
      <c r="D19">
        <v>3</v>
      </c>
      <c r="E19">
        <v>8</v>
      </c>
      <c r="F19">
        <v>2</v>
      </c>
      <c r="G19">
        <v>11</v>
      </c>
      <c r="H19">
        <v>91</v>
      </c>
    </row>
    <row r="20" spans="1:8" x14ac:dyDescent="0.25">
      <c r="A20" s="5" t="s">
        <v>47</v>
      </c>
      <c r="B20">
        <v>57</v>
      </c>
      <c r="C20">
        <v>39</v>
      </c>
      <c r="D20">
        <v>19</v>
      </c>
      <c r="E20">
        <v>14</v>
      </c>
      <c r="F20">
        <v>3</v>
      </c>
      <c r="G20">
        <v>23</v>
      </c>
      <c r="H20">
        <v>155</v>
      </c>
    </row>
    <row r="21" spans="1:8" x14ac:dyDescent="0.25">
      <c r="A21" s="5" t="s">
        <v>77</v>
      </c>
      <c r="B21">
        <v>64</v>
      </c>
      <c r="C21">
        <v>23</v>
      </c>
      <c r="D21">
        <v>9</v>
      </c>
      <c r="E21">
        <v>11</v>
      </c>
      <c r="F21">
        <v>4</v>
      </c>
      <c r="G21">
        <v>3</v>
      </c>
      <c r="H21">
        <v>114</v>
      </c>
    </row>
    <row r="22" spans="1:8" x14ac:dyDescent="0.25">
      <c r="A22" s="5" t="s">
        <v>496</v>
      </c>
      <c r="B22">
        <v>3</v>
      </c>
      <c r="C22">
        <v>4</v>
      </c>
      <c r="G22">
        <v>1</v>
      </c>
      <c r="H22">
        <v>8</v>
      </c>
    </row>
    <row r="23" spans="1:8" x14ac:dyDescent="0.25">
      <c r="A23" s="5" t="s">
        <v>1089</v>
      </c>
      <c r="B23">
        <v>466</v>
      </c>
      <c r="C23">
        <v>226</v>
      </c>
      <c r="D23">
        <v>88</v>
      </c>
      <c r="E23">
        <v>101</v>
      </c>
      <c r="F23">
        <v>16</v>
      </c>
      <c r="G23">
        <v>103</v>
      </c>
      <c r="H23">
        <v>1000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A8A9-0A27-4261-AEF1-6E6255BA307F}">
  <dimension ref="A3:F114"/>
  <sheetViews>
    <sheetView workbookViewId="0">
      <selection activeCell="E3" sqref="E3:F13"/>
    </sheetView>
  </sheetViews>
  <sheetFormatPr defaultRowHeight="15" x14ac:dyDescent="0.25"/>
  <cols>
    <col min="1" max="1" width="14.7109375" bestFit="1" customWidth="1"/>
    <col min="2" max="2" width="29.85546875" bestFit="1" customWidth="1"/>
    <col min="5" max="5" width="19.7109375" customWidth="1"/>
  </cols>
  <sheetData>
    <row r="3" spans="1:6" x14ac:dyDescent="0.25">
      <c r="A3" s="4" t="s">
        <v>1087</v>
      </c>
      <c r="B3" t="s">
        <v>1102</v>
      </c>
      <c r="E3" t="s">
        <v>1111</v>
      </c>
      <c r="F3" t="s">
        <v>1112</v>
      </c>
    </row>
    <row r="4" spans="1:6" x14ac:dyDescent="0.25">
      <c r="A4" s="5" t="s">
        <v>673</v>
      </c>
      <c r="B4">
        <v>5</v>
      </c>
      <c r="E4" t="s">
        <v>160</v>
      </c>
      <c r="F4">
        <v>41</v>
      </c>
    </row>
    <row r="5" spans="1:6" x14ac:dyDescent="0.25">
      <c r="A5" s="5" t="s">
        <v>727</v>
      </c>
      <c r="B5">
        <v>2</v>
      </c>
      <c r="E5" t="s">
        <v>230</v>
      </c>
      <c r="F5">
        <v>39</v>
      </c>
    </row>
    <row r="6" spans="1:6" x14ac:dyDescent="0.25">
      <c r="A6" s="5" t="s">
        <v>456</v>
      </c>
      <c r="B6">
        <v>3</v>
      </c>
      <c r="E6" t="s">
        <v>157</v>
      </c>
      <c r="F6">
        <v>38</v>
      </c>
    </row>
    <row r="7" spans="1:6" x14ac:dyDescent="0.25">
      <c r="A7" s="5" t="s">
        <v>582</v>
      </c>
      <c r="B7">
        <v>1</v>
      </c>
      <c r="E7" t="s">
        <v>46</v>
      </c>
      <c r="F7">
        <v>35</v>
      </c>
    </row>
    <row r="8" spans="1:6" x14ac:dyDescent="0.25">
      <c r="A8" s="5" t="s">
        <v>198</v>
      </c>
      <c r="B8">
        <v>4</v>
      </c>
      <c r="E8" t="s">
        <v>428</v>
      </c>
      <c r="F8">
        <v>34</v>
      </c>
    </row>
    <row r="9" spans="1:6" x14ac:dyDescent="0.25">
      <c r="A9" s="5" t="s">
        <v>1026</v>
      </c>
      <c r="B9">
        <v>1</v>
      </c>
      <c r="E9" t="s">
        <v>545</v>
      </c>
      <c r="F9">
        <v>32</v>
      </c>
    </row>
    <row r="10" spans="1:6" x14ac:dyDescent="0.25">
      <c r="A10" s="5" t="s">
        <v>651</v>
      </c>
      <c r="B10">
        <v>1</v>
      </c>
      <c r="E10" t="s">
        <v>319</v>
      </c>
      <c r="F10">
        <v>30</v>
      </c>
    </row>
    <row r="11" spans="1:6" x14ac:dyDescent="0.25">
      <c r="A11" s="5" t="s">
        <v>179</v>
      </c>
      <c r="B11">
        <v>1</v>
      </c>
      <c r="E11" t="s">
        <v>76</v>
      </c>
      <c r="F11">
        <v>30</v>
      </c>
    </row>
    <row r="12" spans="1:6" x14ac:dyDescent="0.25">
      <c r="A12" s="5" t="s">
        <v>90</v>
      </c>
      <c r="B12">
        <v>9</v>
      </c>
      <c r="E12" t="s">
        <v>41</v>
      </c>
      <c r="F12">
        <v>30</v>
      </c>
    </row>
    <row r="13" spans="1:6" x14ac:dyDescent="0.25">
      <c r="A13" s="5" t="s">
        <v>779</v>
      </c>
      <c r="B13">
        <v>8</v>
      </c>
      <c r="E13" t="s">
        <v>240</v>
      </c>
      <c r="F13">
        <v>29</v>
      </c>
    </row>
    <row r="14" spans="1:6" x14ac:dyDescent="0.25">
      <c r="A14" s="5" t="s">
        <v>409</v>
      </c>
      <c r="B14">
        <v>1</v>
      </c>
      <c r="E14" t="s">
        <v>139</v>
      </c>
      <c r="F14">
        <v>26</v>
      </c>
    </row>
    <row r="15" spans="1:6" x14ac:dyDescent="0.25">
      <c r="A15" s="5" t="s">
        <v>940</v>
      </c>
      <c r="B15">
        <v>6</v>
      </c>
      <c r="E15" t="s">
        <v>269</v>
      </c>
      <c r="F15">
        <v>25</v>
      </c>
    </row>
    <row r="16" spans="1:6" x14ac:dyDescent="0.25">
      <c r="A16" s="5" t="s">
        <v>443</v>
      </c>
      <c r="B16">
        <v>17</v>
      </c>
      <c r="E16" t="s">
        <v>107</v>
      </c>
      <c r="F16">
        <v>22</v>
      </c>
    </row>
    <row r="17" spans="1:6" x14ac:dyDescent="0.25">
      <c r="A17" s="5" t="s">
        <v>97</v>
      </c>
      <c r="B17">
        <v>12</v>
      </c>
      <c r="E17" t="s">
        <v>83</v>
      </c>
      <c r="F17">
        <v>21</v>
      </c>
    </row>
    <row r="18" spans="1:6" x14ac:dyDescent="0.25">
      <c r="A18" s="5" t="s">
        <v>68</v>
      </c>
      <c r="B18">
        <v>6</v>
      </c>
      <c r="E18" t="s">
        <v>118</v>
      </c>
      <c r="F18">
        <v>19</v>
      </c>
    </row>
    <row r="19" spans="1:6" x14ac:dyDescent="0.25">
      <c r="A19" s="5" t="s">
        <v>428</v>
      </c>
      <c r="B19">
        <v>34</v>
      </c>
      <c r="E19" t="s">
        <v>443</v>
      </c>
      <c r="F19">
        <v>17</v>
      </c>
    </row>
    <row r="20" spans="1:6" x14ac:dyDescent="0.25">
      <c r="A20" s="5" t="s">
        <v>273</v>
      </c>
      <c r="B20">
        <v>6</v>
      </c>
      <c r="E20" t="s">
        <v>578</v>
      </c>
      <c r="F20">
        <v>17</v>
      </c>
    </row>
    <row r="21" spans="1:6" x14ac:dyDescent="0.25">
      <c r="A21" s="5" t="s">
        <v>139</v>
      </c>
      <c r="B21">
        <v>26</v>
      </c>
      <c r="E21" t="s">
        <v>61</v>
      </c>
      <c r="F21">
        <v>17</v>
      </c>
    </row>
    <row r="22" spans="1:6" x14ac:dyDescent="0.25">
      <c r="A22" s="5" t="s">
        <v>578</v>
      </c>
      <c r="B22">
        <v>17</v>
      </c>
      <c r="E22" t="s">
        <v>368</v>
      </c>
      <c r="F22">
        <v>17</v>
      </c>
    </row>
    <row r="23" spans="1:6" x14ac:dyDescent="0.25">
      <c r="A23" s="5" t="s">
        <v>53</v>
      </c>
      <c r="B23">
        <v>9</v>
      </c>
      <c r="E23" t="s">
        <v>226</v>
      </c>
      <c r="F23">
        <v>17</v>
      </c>
    </row>
    <row r="24" spans="1:6" x14ac:dyDescent="0.25">
      <c r="A24" s="5" t="s">
        <v>168</v>
      </c>
      <c r="B24">
        <v>6</v>
      </c>
      <c r="E24" t="s">
        <v>150</v>
      </c>
      <c r="F24">
        <v>16</v>
      </c>
    </row>
    <row r="25" spans="1:6" x14ac:dyDescent="0.25">
      <c r="A25" s="5" t="s">
        <v>770</v>
      </c>
      <c r="B25">
        <v>1</v>
      </c>
      <c r="E25" t="s">
        <v>221</v>
      </c>
      <c r="F25">
        <v>15</v>
      </c>
    </row>
    <row r="26" spans="1:6" x14ac:dyDescent="0.25">
      <c r="A26" s="5" t="s">
        <v>1068</v>
      </c>
      <c r="B26">
        <v>2</v>
      </c>
      <c r="E26" t="s">
        <v>235</v>
      </c>
      <c r="F26">
        <v>14</v>
      </c>
    </row>
    <row r="27" spans="1:6" x14ac:dyDescent="0.25">
      <c r="A27" s="5" t="s">
        <v>575</v>
      </c>
      <c r="B27">
        <v>1</v>
      </c>
      <c r="E27" t="s">
        <v>125</v>
      </c>
      <c r="F27">
        <v>14</v>
      </c>
    </row>
    <row r="28" spans="1:6" x14ac:dyDescent="0.25">
      <c r="A28" s="5" t="s">
        <v>562</v>
      </c>
      <c r="B28">
        <v>1</v>
      </c>
      <c r="E28" t="s">
        <v>656</v>
      </c>
      <c r="F28">
        <v>14</v>
      </c>
    </row>
    <row r="29" spans="1:6" x14ac:dyDescent="0.25">
      <c r="A29" s="5" t="s">
        <v>973</v>
      </c>
      <c r="B29">
        <v>3</v>
      </c>
      <c r="E29" t="s">
        <v>486</v>
      </c>
      <c r="F29">
        <v>14</v>
      </c>
    </row>
    <row r="30" spans="1:6" x14ac:dyDescent="0.25">
      <c r="A30" s="5" t="s">
        <v>602</v>
      </c>
      <c r="B30">
        <v>13</v>
      </c>
      <c r="E30" t="s">
        <v>195</v>
      </c>
      <c r="F30">
        <v>14</v>
      </c>
    </row>
    <row r="31" spans="1:6" x14ac:dyDescent="0.25">
      <c r="A31" s="5" t="s">
        <v>61</v>
      </c>
      <c r="B31">
        <v>17</v>
      </c>
      <c r="E31" t="s">
        <v>624</v>
      </c>
      <c r="F31">
        <v>14</v>
      </c>
    </row>
    <row r="32" spans="1:6" x14ac:dyDescent="0.25">
      <c r="A32" s="5" t="s">
        <v>678</v>
      </c>
      <c r="B32">
        <v>6</v>
      </c>
      <c r="E32" t="s">
        <v>602</v>
      </c>
      <c r="F32">
        <v>13</v>
      </c>
    </row>
    <row r="33" spans="1:6" x14ac:dyDescent="0.25">
      <c r="A33" s="5" t="s">
        <v>721</v>
      </c>
      <c r="B33">
        <v>1</v>
      </c>
      <c r="E33" t="s">
        <v>387</v>
      </c>
      <c r="F33">
        <v>13</v>
      </c>
    </row>
    <row r="34" spans="1:6" x14ac:dyDescent="0.25">
      <c r="A34" s="5" t="s">
        <v>439</v>
      </c>
      <c r="B34">
        <v>9</v>
      </c>
      <c r="E34" t="s">
        <v>295</v>
      </c>
      <c r="F34">
        <v>13</v>
      </c>
    </row>
    <row r="35" spans="1:6" x14ac:dyDescent="0.25">
      <c r="A35" s="5" t="s">
        <v>368</v>
      </c>
      <c r="B35">
        <v>17</v>
      </c>
      <c r="E35" t="s">
        <v>97</v>
      </c>
      <c r="F35">
        <v>12</v>
      </c>
    </row>
    <row r="36" spans="1:6" x14ac:dyDescent="0.25">
      <c r="A36" s="5" t="s">
        <v>319</v>
      </c>
      <c r="B36">
        <v>30</v>
      </c>
      <c r="E36" t="s">
        <v>404</v>
      </c>
      <c r="F36">
        <v>12</v>
      </c>
    </row>
    <row r="37" spans="1:6" x14ac:dyDescent="0.25">
      <c r="A37" s="5" t="s">
        <v>846</v>
      </c>
      <c r="B37">
        <v>3</v>
      </c>
      <c r="E37" t="s">
        <v>552</v>
      </c>
      <c r="F37">
        <v>11</v>
      </c>
    </row>
    <row r="38" spans="1:6" x14ac:dyDescent="0.25">
      <c r="A38" s="5" t="s">
        <v>768</v>
      </c>
      <c r="B38">
        <v>1</v>
      </c>
      <c r="E38" t="s">
        <v>725</v>
      </c>
      <c r="F38">
        <v>11</v>
      </c>
    </row>
    <row r="39" spans="1:6" x14ac:dyDescent="0.25">
      <c r="A39" s="5" t="s">
        <v>704</v>
      </c>
      <c r="B39">
        <v>1</v>
      </c>
      <c r="E39" t="s">
        <v>569</v>
      </c>
      <c r="F39">
        <v>10</v>
      </c>
    </row>
    <row r="40" spans="1:6" x14ac:dyDescent="0.25">
      <c r="A40" s="5" t="s">
        <v>786</v>
      </c>
      <c r="B40">
        <v>1</v>
      </c>
      <c r="E40" t="s">
        <v>285</v>
      </c>
      <c r="F40">
        <v>10</v>
      </c>
    </row>
    <row r="41" spans="1:6" x14ac:dyDescent="0.25">
      <c r="A41" s="5" t="s">
        <v>605</v>
      </c>
      <c r="B41">
        <v>1</v>
      </c>
      <c r="E41" t="s">
        <v>90</v>
      </c>
      <c r="F41">
        <v>9</v>
      </c>
    </row>
    <row r="42" spans="1:6" x14ac:dyDescent="0.25">
      <c r="A42" s="5" t="s">
        <v>876</v>
      </c>
      <c r="B42">
        <v>4</v>
      </c>
      <c r="E42" t="s">
        <v>53</v>
      </c>
      <c r="F42">
        <v>9</v>
      </c>
    </row>
    <row r="43" spans="1:6" x14ac:dyDescent="0.25">
      <c r="A43" s="5" t="s">
        <v>76</v>
      </c>
      <c r="B43">
        <v>30</v>
      </c>
      <c r="E43" t="s">
        <v>439</v>
      </c>
      <c r="F43">
        <v>9</v>
      </c>
    </row>
    <row r="44" spans="1:6" x14ac:dyDescent="0.25">
      <c r="A44" s="5" t="s">
        <v>41</v>
      </c>
      <c r="B44">
        <v>30</v>
      </c>
      <c r="E44" t="s">
        <v>527</v>
      </c>
      <c r="F44">
        <v>9</v>
      </c>
    </row>
    <row r="45" spans="1:6" x14ac:dyDescent="0.25">
      <c r="A45" s="5" t="s">
        <v>945</v>
      </c>
      <c r="B45">
        <v>1</v>
      </c>
      <c r="E45" t="s">
        <v>779</v>
      </c>
      <c r="F45">
        <v>8</v>
      </c>
    </row>
    <row r="46" spans="1:6" x14ac:dyDescent="0.25">
      <c r="A46" s="5" t="s">
        <v>527</v>
      </c>
      <c r="B46">
        <v>9</v>
      </c>
      <c r="E46" t="s">
        <v>327</v>
      </c>
      <c r="F46">
        <v>8</v>
      </c>
    </row>
    <row r="47" spans="1:6" x14ac:dyDescent="0.25">
      <c r="A47" s="5" t="s">
        <v>235</v>
      </c>
      <c r="B47">
        <v>14</v>
      </c>
      <c r="E47" t="s">
        <v>801</v>
      </c>
      <c r="F47">
        <v>7</v>
      </c>
    </row>
    <row r="48" spans="1:6" x14ac:dyDescent="0.25">
      <c r="A48" s="5" t="s">
        <v>125</v>
      </c>
      <c r="B48">
        <v>14</v>
      </c>
      <c r="E48" t="s">
        <v>253</v>
      </c>
      <c r="F48">
        <v>7</v>
      </c>
    </row>
    <row r="49" spans="1:6" x14ac:dyDescent="0.25">
      <c r="A49" s="5" t="s">
        <v>552</v>
      </c>
      <c r="B49">
        <v>11</v>
      </c>
      <c r="E49" t="s">
        <v>940</v>
      </c>
      <c r="F49">
        <v>6</v>
      </c>
    </row>
    <row r="50" spans="1:6" x14ac:dyDescent="0.25">
      <c r="A50" s="5" t="s">
        <v>656</v>
      </c>
      <c r="B50">
        <v>14</v>
      </c>
      <c r="E50" t="s">
        <v>68</v>
      </c>
      <c r="F50">
        <v>6</v>
      </c>
    </row>
    <row r="51" spans="1:6" x14ac:dyDescent="0.25">
      <c r="A51" s="5" t="s">
        <v>519</v>
      </c>
      <c r="B51">
        <v>1</v>
      </c>
      <c r="E51" t="s">
        <v>273</v>
      </c>
      <c r="F51">
        <v>6</v>
      </c>
    </row>
    <row r="52" spans="1:6" x14ac:dyDescent="0.25">
      <c r="A52" s="5" t="s">
        <v>859</v>
      </c>
      <c r="B52">
        <v>2</v>
      </c>
      <c r="E52" t="s">
        <v>168</v>
      </c>
      <c r="F52">
        <v>6</v>
      </c>
    </row>
    <row r="53" spans="1:6" x14ac:dyDescent="0.25">
      <c r="A53" s="5" t="s">
        <v>160</v>
      </c>
      <c r="B53">
        <v>41</v>
      </c>
      <c r="E53" t="s">
        <v>678</v>
      </c>
      <c r="F53">
        <v>6</v>
      </c>
    </row>
    <row r="54" spans="1:6" x14ac:dyDescent="0.25">
      <c r="A54" s="5" t="s">
        <v>414</v>
      </c>
      <c r="B54">
        <v>3</v>
      </c>
      <c r="E54" t="s">
        <v>190</v>
      </c>
      <c r="F54">
        <v>6</v>
      </c>
    </row>
    <row r="55" spans="1:6" x14ac:dyDescent="0.25">
      <c r="A55" s="5" t="s">
        <v>683</v>
      </c>
      <c r="B55">
        <v>1</v>
      </c>
      <c r="E55" t="s">
        <v>337</v>
      </c>
      <c r="F55">
        <v>6</v>
      </c>
    </row>
    <row r="56" spans="1:6" x14ac:dyDescent="0.25">
      <c r="A56" s="5" t="s">
        <v>981</v>
      </c>
      <c r="B56">
        <v>4</v>
      </c>
      <c r="E56" t="s">
        <v>673</v>
      </c>
      <c r="F56">
        <v>5</v>
      </c>
    </row>
    <row r="57" spans="1:6" x14ac:dyDescent="0.25">
      <c r="A57" s="5" t="s">
        <v>118</v>
      </c>
      <c r="B57">
        <v>19</v>
      </c>
      <c r="E57" t="s">
        <v>310</v>
      </c>
      <c r="F57">
        <v>5</v>
      </c>
    </row>
    <row r="58" spans="1:6" x14ac:dyDescent="0.25">
      <c r="A58" s="5" t="s">
        <v>327</v>
      </c>
      <c r="B58">
        <v>8</v>
      </c>
      <c r="E58" t="s">
        <v>198</v>
      </c>
      <c r="F58">
        <v>4</v>
      </c>
    </row>
    <row r="59" spans="1:6" x14ac:dyDescent="0.25">
      <c r="A59" s="5" t="s">
        <v>486</v>
      </c>
      <c r="B59">
        <v>14</v>
      </c>
      <c r="E59" t="s">
        <v>876</v>
      </c>
      <c r="F59">
        <v>4</v>
      </c>
    </row>
    <row r="60" spans="1:6" x14ac:dyDescent="0.25">
      <c r="A60" s="5" t="s">
        <v>107</v>
      </c>
      <c r="B60">
        <v>22</v>
      </c>
      <c r="E60" t="s">
        <v>981</v>
      </c>
      <c r="F60">
        <v>4</v>
      </c>
    </row>
    <row r="61" spans="1:6" x14ac:dyDescent="0.25">
      <c r="A61" s="5" t="s">
        <v>666</v>
      </c>
      <c r="B61">
        <v>2</v>
      </c>
      <c r="E61" t="s">
        <v>400</v>
      </c>
      <c r="F61">
        <v>4</v>
      </c>
    </row>
    <row r="62" spans="1:6" x14ac:dyDescent="0.25">
      <c r="A62" s="5" t="s">
        <v>669</v>
      </c>
      <c r="B62">
        <v>1</v>
      </c>
      <c r="E62" t="s">
        <v>909</v>
      </c>
      <c r="F62">
        <v>4</v>
      </c>
    </row>
    <row r="63" spans="1:6" x14ac:dyDescent="0.25">
      <c r="A63" s="5" t="s">
        <v>640</v>
      </c>
      <c r="B63">
        <v>1</v>
      </c>
      <c r="E63" t="s">
        <v>27</v>
      </c>
      <c r="F63">
        <v>4</v>
      </c>
    </row>
    <row r="64" spans="1:6" x14ac:dyDescent="0.25">
      <c r="A64" s="5" t="s">
        <v>801</v>
      </c>
      <c r="B64">
        <v>7</v>
      </c>
      <c r="E64" t="s">
        <v>456</v>
      </c>
      <c r="F64">
        <v>3</v>
      </c>
    </row>
    <row r="65" spans="1:6" x14ac:dyDescent="0.25">
      <c r="A65" s="5" t="s">
        <v>346</v>
      </c>
      <c r="B65">
        <v>2</v>
      </c>
      <c r="E65" t="s">
        <v>973</v>
      </c>
      <c r="F65">
        <v>3</v>
      </c>
    </row>
    <row r="66" spans="1:6" x14ac:dyDescent="0.25">
      <c r="A66" s="5" t="s">
        <v>400</v>
      </c>
      <c r="B66">
        <v>4</v>
      </c>
      <c r="E66" t="s">
        <v>846</v>
      </c>
      <c r="F66">
        <v>3</v>
      </c>
    </row>
    <row r="67" spans="1:6" x14ac:dyDescent="0.25">
      <c r="A67" s="5" t="s">
        <v>195</v>
      </c>
      <c r="B67">
        <v>14</v>
      </c>
      <c r="E67" t="s">
        <v>414</v>
      </c>
      <c r="F67">
        <v>3</v>
      </c>
    </row>
    <row r="68" spans="1:6" x14ac:dyDescent="0.25">
      <c r="A68" s="5" t="s">
        <v>1017</v>
      </c>
      <c r="B68">
        <v>2</v>
      </c>
      <c r="E68" t="s">
        <v>935</v>
      </c>
      <c r="F68">
        <v>3</v>
      </c>
    </row>
    <row r="69" spans="1:6" x14ac:dyDescent="0.25">
      <c r="A69" s="5" t="s">
        <v>935</v>
      </c>
      <c r="B69">
        <v>3</v>
      </c>
      <c r="E69" t="s">
        <v>257</v>
      </c>
      <c r="F69">
        <v>3</v>
      </c>
    </row>
    <row r="70" spans="1:6" x14ac:dyDescent="0.25">
      <c r="A70" s="5" t="s">
        <v>253</v>
      </c>
      <c r="B70">
        <v>7</v>
      </c>
      <c r="E70" t="s">
        <v>478</v>
      </c>
      <c r="F70">
        <v>3</v>
      </c>
    </row>
    <row r="71" spans="1:6" x14ac:dyDescent="0.25">
      <c r="A71" s="5" t="s">
        <v>545</v>
      </c>
      <c r="B71">
        <v>32</v>
      </c>
      <c r="E71" t="s">
        <v>727</v>
      </c>
      <c r="F71">
        <v>2</v>
      </c>
    </row>
    <row r="72" spans="1:6" x14ac:dyDescent="0.25">
      <c r="A72" s="5" t="s">
        <v>391</v>
      </c>
      <c r="B72">
        <v>1</v>
      </c>
      <c r="E72" t="s">
        <v>1068</v>
      </c>
      <c r="F72">
        <v>2</v>
      </c>
    </row>
    <row r="73" spans="1:6" x14ac:dyDescent="0.25">
      <c r="A73" s="5" t="s">
        <v>245</v>
      </c>
      <c r="B73">
        <v>1</v>
      </c>
      <c r="E73" t="s">
        <v>859</v>
      </c>
      <c r="F73">
        <v>2</v>
      </c>
    </row>
    <row r="74" spans="1:6" x14ac:dyDescent="0.25">
      <c r="A74" s="5" t="s">
        <v>269</v>
      </c>
      <c r="B74">
        <v>25</v>
      </c>
      <c r="E74" t="s">
        <v>666</v>
      </c>
      <c r="F74">
        <v>2</v>
      </c>
    </row>
    <row r="75" spans="1:6" x14ac:dyDescent="0.25">
      <c r="A75" s="5" t="s">
        <v>598</v>
      </c>
      <c r="B75">
        <v>1</v>
      </c>
      <c r="E75" t="s">
        <v>346</v>
      </c>
      <c r="F75">
        <v>2</v>
      </c>
    </row>
    <row r="76" spans="1:6" x14ac:dyDescent="0.25">
      <c r="A76" s="5" t="s">
        <v>909</v>
      </c>
      <c r="B76">
        <v>4</v>
      </c>
      <c r="E76" t="s">
        <v>1017</v>
      </c>
      <c r="F76">
        <v>2</v>
      </c>
    </row>
    <row r="77" spans="1:6" x14ac:dyDescent="0.25">
      <c r="A77" s="5" t="s">
        <v>569</v>
      </c>
      <c r="B77">
        <v>10</v>
      </c>
      <c r="E77" t="s">
        <v>589</v>
      </c>
      <c r="F77">
        <v>2</v>
      </c>
    </row>
    <row r="78" spans="1:6" x14ac:dyDescent="0.25">
      <c r="A78" s="5" t="s">
        <v>1046</v>
      </c>
      <c r="B78">
        <v>1</v>
      </c>
      <c r="E78" t="s">
        <v>184</v>
      </c>
      <c r="F78">
        <v>2</v>
      </c>
    </row>
    <row r="79" spans="1:6" x14ac:dyDescent="0.25">
      <c r="A79" s="5" t="s">
        <v>589</v>
      </c>
      <c r="B79">
        <v>2</v>
      </c>
      <c r="E79" t="s">
        <v>128</v>
      </c>
      <c r="F79">
        <v>2</v>
      </c>
    </row>
    <row r="80" spans="1:6" x14ac:dyDescent="0.25">
      <c r="A80" s="5" t="s">
        <v>634</v>
      </c>
      <c r="B80">
        <v>1</v>
      </c>
      <c r="E80" t="s">
        <v>330</v>
      </c>
      <c r="F80">
        <v>2</v>
      </c>
    </row>
    <row r="81" spans="1:6" x14ac:dyDescent="0.25">
      <c r="A81" s="5" t="s">
        <v>230</v>
      </c>
      <c r="B81">
        <v>39</v>
      </c>
      <c r="E81" t="s">
        <v>582</v>
      </c>
      <c r="F81">
        <v>1</v>
      </c>
    </row>
    <row r="82" spans="1:6" x14ac:dyDescent="0.25">
      <c r="A82" s="5" t="s">
        <v>157</v>
      </c>
      <c r="B82">
        <v>38</v>
      </c>
      <c r="E82" t="s">
        <v>1026</v>
      </c>
      <c r="F82">
        <v>1</v>
      </c>
    </row>
    <row r="83" spans="1:6" x14ac:dyDescent="0.25">
      <c r="A83" s="5" t="s">
        <v>285</v>
      </c>
      <c r="B83">
        <v>10</v>
      </c>
      <c r="E83" t="s">
        <v>651</v>
      </c>
      <c r="F83">
        <v>1</v>
      </c>
    </row>
    <row r="84" spans="1:6" x14ac:dyDescent="0.25">
      <c r="A84" s="5" t="s">
        <v>424</v>
      </c>
      <c r="B84">
        <v>1</v>
      </c>
      <c r="E84" t="s">
        <v>179</v>
      </c>
      <c r="F84">
        <v>1</v>
      </c>
    </row>
    <row r="85" spans="1:6" x14ac:dyDescent="0.25">
      <c r="A85" s="5" t="s">
        <v>226</v>
      </c>
      <c r="B85">
        <v>17</v>
      </c>
      <c r="E85" t="s">
        <v>409</v>
      </c>
      <c r="F85">
        <v>1</v>
      </c>
    </row>
    <row r="86" spans="1:6" x14ac:dyDescent="0.25">
      <c r="A86" s="5" t="s">
        <v>387</v>
      </c>
      <c r="B86">
        <v>13</v>
      </c>
      <c r="E86" t="s">
        <v>770</v>
      </c>
      <c r="F86">
        <v>1</v>
      </c>
    </row>
    <row r="87" spans="1:6" x14ac:dyDescent="0.25">
      <c r="A87" s="5" t="s">
        <v>310</v>
      </c>
      <c r="B87">
        <v>5</v>
      </c>
      <c r="E87" t="s">
        <v>575</v>
      </c>
      <c r="F87">
        <v>1</v>
      </c>
    </row>
    <row r="88" spans="1:6" x14ac:dyDescent="0.25">
      <c r="A88" s="5" t="s">
        <v>902</v>
      </c>
      <c r="B88">
        <v>1</v>
      </c>
      <c r="E88" t="s">
        <v>562</v>
      </c>
      <c r="F88">
        <v>1</v>
      </c>
    </row>
    <row r="89" spans="1:6" x14ac:dyDescent="0.25">
      <c r="A89" s="5" t="s">
        <v>190</v>
      </c>
      <c r="B89">
        <v>6</v>
      </c>
      <c r="E89" t="s">
        <v>721</v>
      </c>
      <c r="F89">
        <v>1</v>
      </c>
    </row>
    <row r="90" spans="1:6" x14ac:dyDescent="0.25">
      <c r="A90" s="5" t="s">
        <v>624</v>
      </c>
      <c r="B90">
        <v>14</v>
      </c>
      <c r="E90" t="s">
        <v>768</v>
      </c>
      <c r="F90">
        <v>1</v>
      </c>
    </row>
    <row r="91" spans="1:6" x14ac:dyDescent="0.25">
      <c r="A91" s="5" t="s">
        <v>515</v>
      </c>
      <c r="B91">
        <v>1</v>
      </c>
      <c r="E91" t="s">
        <v>704</v>
      </c>
      <c r="F91">
        <v>1</v>
      </c>
    </row>
    <row r="92" spans="1:6" x14ac:dyDescent="0.25">
      <c r="A92" s="5" t="s">
        <v>257</v>
      </c>
      <c r="B92">
        <v>3</v>
      </c>
      <c r="E92" t="s">
        <v>786</v>
      </c>
      <c r="F92">
        <v>1</v>
      </c>
    </row>
    <row r="93" spans="1:6" x14ac:dyDescent="0.25">
      <c r="A93" s="5" t="s">
        <v>150</v>
      </c>
      <c r="B93">
        <v>16</v>
      </c>
      <c r="E93" t="s">
        <v>605</v>
      </c>
      <c r="F93">
        <v>1</v>
      </c>
    </row>
    <row r="94" spans="1:6" x14ac:dyDescent="0.25">
      <c r="A94" s="5" t="s">
        <v>478</v>
      </c>
      <c r="B94">
        <v>3</v>
      </c>
      <c r="E94" t="s">
        <v>945</v>
      </c>
      <c r="F94">
        <v>1</v>
      </c>
    </row>
    <row r="95" spans="1:6" x14ac:dyDescent="0.25">
      <c r="A95" s="5" t="s">
        <v>27</v>
      </c>
      <c r="B95">
        <v>4</v>
      </c>
      <c r="E95" t="s">
        <v>519</v>
      </c>
      <c r="F95">
        <v>1</v>
      </c>
    </row>
    <row r="96" spans="1:6" x14ac:dyDescent="0.25">
      <c r="A96" s="5" t="s">
        <v>83</v>
      </c>
      <c r="B96">
        <v>21</v>
      </c>
      <c r="E96" t="s">
        <v>683</v>
      </c>
      <c r="F96">
        <v>1</v>
      </c>
    </row>
    <row r="97" spans="1:6" x14ac:dyDescent="0.25">
      <c r="A97" s="5" t="s">
        <v>221</v>
      </c>
      <c r="B97">
        <v>15</v>
      </c>
      <c r="E97" t="s">
        <v>669</v>
      </c>
      <c r="F97">
        <v>1</v>
      </c>
    </row>
    <row r="98" spans="1:6" x14ac:dyDescent="0.25">
      <c r="A98" s="5" t="s">
        <v>404</v>
      </c>
      <c r="B98">
        <v>12</v>
      </c>
      <c r="E98" t="s">
        <v>640</v>
      </c>
      <c r="F98">
        <v>1</v>
      </c>
    </row>
    <row r="99" spans="1:6" x14ac:dyDescent="0.25">
      <c r="A99" s="5" t="s">
        <v>632</v>
      </c>
      <c r="B99">
        <v>1</v>
      </c>
      <c r="E99" t="s">
        <v>391</v>
      </c>
      <c r="F99">
        <v>1</v>
      </c>
    </row>
    <row r="100" spans="1:6" x14ac:dyDescent="0.25">
      <c r="A100" s="5" t="s">
        <v>240</v>
      </c>
      <c r="B100">
        <v>29</v>
      </c>
      <c r="E100" t="s">
        <v>245</v>
      </c>
      <c r="F100">
        <v>1</v>
      </c>
    </row>
    <row r="101" spans="1:6" x14ac:dyDescent="0.25">
      <c r="A101" s="5" t="s">
        <v>295</v>
      </c>
      <c r="B101">
        <v>13</v>
      </c>
      <c r="E101" t="s">
        <v>598</v>
      </c>
      <c r="F101">
        <v>1</v>
      </c>
    </row>
    <row r="102" spans="1:6" x14ac:dyDescent="0.25">
      <c r="A102" s="5" t="s">
        <v>1037</v>
      </c>
      <c r="B102">
        <v>1</v>
      </c>
      <c r="E102" t="s">
        <v>1046</v>
      </c>
      <c r="F102">
        <v>1</v>
      </c>
    </row>
    <row r="103" spans="1:6" x14ac:dyDescent="0.25">
      <c r="A103" s="5" t="s">
        <v>184</v>
      </c>
      <c r="B103">
        <v>2</v>
      </c>
      <c r="E103" t="s">
        <v>634</v>
      </c>
      <c r="F103">
        <v>1</v>
      </c>
    </row>
    <row r="104" spans="1:6" x14ac:dyDescent="0.25">
      <c r="A104" s="5" t="s">
        <v>725</v>
      </c>
      <c r="B104">
        <v>11</v>
      </c>
      <c r="E104" t="s">
        <v>424</v>
      </c>
      <c r="F104">
        <v>1</v>
      </c>
    </row>
    <row r="105" spans="1:6" x14ac:dyDescent="0.25">
      <c r="A105" s="5" t="s">
        <v>128</v>
      </c>
      <c r="B105">
        <v>2</v>
      </c>
      <c r="E105" t="s">
        <v>902</v>
      </c>
      <c r="F105">
        <v>1</v>
      </c>
    </row>
    <row r="106" spans="1:6" x14ac:dyDescent="0.25">
      <c r="A106" s="5" t="s">
        <v>783</v>
      </c>
      <c r="B106">
        <v>1</v>
      </c>
      <c r="E106" t="s">
        <v>515</v>
      </c>
      <c r="F106">
        <v>1</v>
      </c>
    </row>
    <row r="107" spans="1:6" x14ac:dyDescent="0.25">
      <c r="A107" s="5" t="s">
        <v>113</v>
      </c>
      <c r="B107">
        <v>1</v>
      </c>
      <c r="E107" t="s">
        <v>632</v>
      </c>
      <c r="F107">
        <v>1</v>
      </c>
    </row>
    <row r="108" spans="1:6" x14ac:dyDescent="0.25">
      <c r="A108" s="5" t="s">
        <v>330</v>
      </c>
      <c r="B108">
        <v>2</v>
      </c>
      <c r="E108" t="s">
        <v>1037</v>
      </c>
      <c r="F108">
        <v>1</v>
      </c>
    </row>
    <row r="109" spans="1:6" x14ac:dyDescent="0.25">
      <c r="A109" s="5" t="s">
        <v>791</v>
      </c>
      <c r="B109">
        <v>1</v>
      </c>
      <c r="E109" t="s">
        <v>783</v>
      </c>
      <c r="F109">
        <v>1</v>
      </c>
    </row>
    <row r="110" spans="1:6" x14ac:dyDescent="0.25">
      <c r="A110" s="5" t="s">
        <v>337</v>
      </c>
      <c r="B110">
        <v>6</v>
      </c>
      <c r="E110" t="s">
        <v>113</v>
      </c>
      <c r="F110">
        <v>1</v>
      </c>
    </row>
    <row r="111" spans="1:6" x14ac:dyDescent="0.25">
      <c r="A111" s="5" t="s">
        <v>46</v>
      </c>
      <c r="B111">
        <v>35</v>
      </c>
      <c r="E111" t="s">
        <v>791</v>
      </c>
      <c r="F111">
        <v>1</v>
      </c>
    </row>
    <row r="112" spans="1:6" x14ac:dyDescent="0.25">
      <c r="A112" s="5" t="s">
        <v>16</v>
      </c>
      <c r="B112">
        <v>30</v>
      </c>
    </row>
    <row r="113" spans="1:2" x14ac:dyDescent="0.25">
      <c r="A113" s="5" t="s">
        <v>1088</v>
      </c>
    </row>
    <row r="114" spans="1:2" x14ac:dyDescent="0.25">
      <c r="A114" s="5" t="s">
        <v>1089</v>
      </c>
      <c r="B114">
        <v>1000</v>
      </c>
    </row>
  </sheetData>
  <sortState xmlns:xlrd2="http://schemas.microsoft.com/office/spreadsheetml/2017/richdata2" ref="E4:F111">
    <sortCondition descending="1" ref="F3:F111"/>
  </sortState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4871-38AC-48FB-8326-F0C0792F74E6}">
  <dimension ref="A1:R1001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10.85546875" bestFit="1" customWidth="1"/>
    <col min="3" max="3" width="12" bestFit="1" customWidth="1"/>
    <col min="4" max="4" width="27.85546875" bestFit="1" customWidth="1"/>
    <col min="5" max="5" width="10" bestFit="1" customWidth="1"/>
    <col min="6" max="6" width="12.5703125" bestFit="1" customWidth="1"/>
    <col min="7" max="7" width="6.5703125" bestFit="1" customWidth="1"/>
    <col min="8" max="8" width="13.85546875" bestFit="1" customWidth="1"/>
    <col min="9" max="9" width="21.7109375" bestFit="1" customWidth="1"/>
    <col min="10" max="10" width="20.28515625" bestFit="1" customWidth="1"/>
    <col min="11" max="11" width="24.7109375" bestFit="1" customWidth="1"/>
    <col min="12" max="12" width="26" bestFit="1" customWidth="1"/>
    <col min="13" max="14" width="26" customWidth="1"/>
    <col min="15" max="15" width="17.85546875" bestFit="1" customWidth="1"/>
    <col min="16" max="16" width="23.42578125" bestFit="1" customWidth="1"/>
    <col min="17" max="17" width="20.85546875" bestFit="1" customWidth="1"/>
    <col min="18" max="18" width="11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1084</v>
      </c>
      <c r="N1" t="s">
        <v>1085</v>
      </c>
      <c r="O1" t="s">
        <v>1086</v>
      </c>
      <c r="P1" t="s">
        <v>13</v>
      </c>
      <c r="Q1" t="s">
        <v>14</v>
      </c>
      <c r="R1" t="s">
        <v>15</v>
      </c>
    </row>
    <row r="2" spans="1:18" x14ac:dyDescent="0.25">
      <c r="A2">
        <v>802352</v>
      </c>
      <c r="B2" t="s">
        <v>16</v>
      </c>
      <c r="C2" t="s">
        <v>16</v>
      </c>
      <c r="D2" t="s">
        <v>17</v>
      </c>
      <c r="E2" t="s">
        <v>16</v>
      </c>
      <c r="F2" t="s">
        <v>16</v>
      </c>
      <c r="G2">
        <v>0</v>
      </c>
      <c r="H2" t="s">
        <v>16</v>
      </c>
      <c r="I2" t="s">
        <v>16</v>
      </c>
      <c r="J2">
        <v>802352</v>
      </c>
      <c r="K2" t="s">
        <v>18</v>
      </c>
      <c r="L2" s="1">
        <v>42459.461111111108</v>
      </c>
      <c r="M2" s="1">
        <v>42459</v>
      </c>
      <c r="N2" s="3">
        <f>INT(BrightTV_JoinedTablesnw_2026_04_16_23_55_09[[#This Row],[Viewership.RecordDate22]])</f>
        <v>42459</v>
      </c>
      <c r="O2" s="2">
        <v>0.46111111111111114</v>
      </c>
      <c r="P2" t="s">
        <v>19</v>
      </c>
      <c r="Q2">
        <v>802352</v>
      </c>
      <c r="R2" t="s">
        <v>20</v>
      </c>
    </row>
    <row r="3" spans="1:18" x14ac:dyDescent="0.25">
      <c r="A3">
        <v>793571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9</v>
      </c>
      <c r="H3" t="s">
        <v>26</v>
      </c>
      <c r="I3" t="s">
        <v>27</v>
      </c>
      <c r="J3">
        <v>793571</v>
      </c>
      <c r="K3" t="s">
        <v>28</v>
      </c>
      <c r="L3" s="1">
        <v>42402.804166666669</v>
      </c>
      <c r="M3" s="1">
        <v>42402</v>
      </c>
      <c r="N3" s="3">
        <f>INT(BrightTV_JoinedTablesnw_2026_04_16_23_55_09[[#This Row],[Viewership.RecordDate22]])</f>
        <v>42402</v>
      </c>
      <c r="O3" s="2">
        <v>0.8041666666666667</v>
      </c>
      <c r="P3" t="s">
        <v>29</v>
      </c>
      <c r="Q3">
        <v>793571</v>
      </c>
      <c r="R3" t="s">
        <v>20</v>
      </c>
    </row>
    <row r="4" spans="1:18" x14ac:dyDescent="0.25">
      <c r="A4">
        <v>793571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9</v>
      </c>
      <c r="H4" t="s">
        <v>26</v>
      </c>
      <c r="I4" t="s">
        <v>27</v>
      </c>
      <c r="J4">
        <v>793571</v>
      </c>
      <c r="K4" t="s">
        <v>30</v>
      </c>
      <c r="L4" s="1">
        <v>42447.788888888892</v>
      </c>
      <c r="M4" s="1">
        <v>42447</v>
      </c>
      <c r="N4" s="3">
        <f>INT(BrightTV_JoinedTablesnw_2026_04_16_23_55_09[[#This Row],[Viewership.RecordDate22]])</f>
        <v>42447</v>
      </c>
      <c r="O4" s="2">
        <v>0.78888888888888886</v>
      </c>
      <c r="P4" t="s">
        <v>31</v>
      </c>
      <c r="Q4">
        <v>793571</v>
      </c>
      <c r="R4" t="s">
        <v>20</v>
      </c>
    </row>
    <row r="5" spans="1:18" x14ac:dyDescent="0.25">
      <c r="A5">
        <v>793571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9</v>
      </c>
      <c r="H5" t="s">
        <v>26</v>
      </c>
      <c r="I5" t="s">
        <v>27</v>
      </c>
      <c r="J5">
        <v>793571</v>
      </c>
      <c r="K5" t="s">
        <v>32</v>
      </c>
      <c r="L5" s="1">
        <v>42449.267361111109</v>
      </c>
      <c r="M5" s="1">
        <v>42449</v>
      </c>
      <c r="N5" s="3">
        <f>INT(BrightTV_JoinedTablesnw_2026_04_16_23_55_09[[#This Row],[Viewership.RecordDate22]])</f>
        <v>42449</v>
      </c>
      <c r="O5" s="2">
        <v>0.2673611111111111</v>
      </c>
      <c r="P5" t="s">
        <v>33</v>
      </c>
      <c r="Q5">
        <v>793571</v>
      </c>
      <c r="R5" t="s">
        <v>20</v>
      </c>
    </row>
    <row r="6" spans="1:18" x14ac:dyDescent="0.25">
      <c r="A6">
        <v>793571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>
        <v>9</v>
      </c>
      <c r="H6" t="s">
        <v>26</v>
      </c>
      <c r="I6" t="s">
        <v>27</v>
      </c>
      <c r="J6">
        <v>793571</v>
      </c>
      <c r="K6" t="s">
        <v>30</v>
      </c>
      <c r="L6" s="1">
        <v>42403.363194444442</v>
      </c>
      <c r="M6" s="1">
        <v>42403</v>
      </c>
      <c r="N6" s="3">
        <f>INT(BrightTV_JoinedTablesnw_2026_04_16_23_55_09[[#This Row],[Viewership.RecordDate22]])</f>
        <v>42403</v>
      </c>
      <c r="O6" s="2">
        <v>0.36319444444444443</v>
      </c>
      <c r="P6" t="s">
        <v>34</v>
      </c>
      <c r="Q6">
        <v>793571</v>
      </c>
      <c r="R6" t="s">
        <v>20</v>
      </c>
    </row>
    <row r="7" spans="1:18" x14ac:dyDescent="0.25">
      <c r="A7">
        <v>787656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>
        <v>26</v>
      </c>
      <c r="H7" t="s">
        <v>40</v>
      </c>
      <c r="I7" t="s">
        <v>41</v>
      </c>
      <c r="J7">
        <v>787656</v>
      </c>
      <c r="K7" t="s">
        <v>32</v>
      </c>
      <c r="L7" s="1">
        <v>42415.444444444445</v>
      </c>
      <c r="M7" s="1">
        <v>42415</v>
      </c>
      <c r="N7" s="3">
        <f>INT(BrightTV_JoinedTablesnw_2026_04_16_23_55_09[[#This Row],[Viewership.RecordDate22]])</f>
        <v>42415</v>
      </c>
      <c r="O7" s="2">
        <v>0.44444444444444442</v>
      </c>
      <c r="P7" t="s">
        <v>42</v>
      </c>
      <c r="Q7">
        <v>787656</v>
      </c>
      <c r="R7" t="s">
        <v>20</v>
      </c>
    </row>
    <row r="8" spans="1:18" x14ac:dyDescent="0.25">
      <c r="A8">
        <v>771778</v>
      </c>
      <c r="B8" t="s">
        <v>43</v>
      </c>
      <c r="C8" t="s">
        <v>44</v>
      </c>
      <c r="D8" t="s">
        <v>45</v>
      </c>
      <c r="E8" t="s">
        <v>38</v>
      </c>
      <c r="F8" t="s">
        <v>39</v>
      </c>
      <c r="G8">
        <v>21</v>
      </c>
      <c r="H8" t="s">
        <v>26</v>
      </c>
      <c r="I8" t="s">
        <v>46</v>
      </c>
      <c r="J8">
        <v>771778</v>
      </c>
      <c r="K8" t="s">
        <v>47</v>
      </c>
      <c r="L8" s="1">
        <v>42405.657638888886</v>
      </c>
      <c r="M8" s="1">
        <v>42405</v>
      </c>
      <c r="N8" s="3">
        <f>INT(BrightTV_JoinedTablesnw_2026_04_16_23_55_09[[#This Row],[Viewership.RecordDate22]])</f>
        <v>42405</v>
      </c>
      <c r="O8" s="2">
        <v>0.65763888888888888</v>
      </c>
      <c r="P8" t="s">
        <v>48</v>
      </c>
      <c r="Q8">
        <v>771778</v>
      </c>
      <c r="R8" t="s">
        <v>20</v>
      </c>
    </row>
    <row r="9" spans="1:18" x14ac:dyDescent="0.25">
      <c r="A9">
        <v>808915</v>
      </c>
      <c r="B9" t="s">
        <v>49</v>
      </c>
      <c r="C9" t="s">
        <v>50</v>
      </c>
      <c r="D9" t="s">
        <v>51</v>
      </c>
      <c r="E9" t="s">
        <v>38</v>
      </c>
      <c r="F9" t="s">
        <v>39</v>
      </c>
      <c r="G9">
        <v>37</v>
      </c>
      <c r="H9" t="s">
        <v>52</v>
      </c>
      <c r="I9" t="s">
        <v>53</v>
      </c>
      <c r="J9">
        <v>808915</v>
      </c>
      <c r="K9" t="s">
        <v>54</v>
      </c>
      <c r="L9" s="1">
        <v>42420.31527777778</v>
      </c>
      <c r="M9" s="1">
        <v>42420</v>
      </c>
      <c r="N9" s="3">
        <f>INT(BrightTV_JoinedTablesnw_2026_04_16_23_55_09[[#This Row],[Viewership.RecordDate22]])</f>
        <v>42420</v>
      </c>
      <c r="O9" s="2">
        <v>0.31527777777777777</v>
      </c>
      <c r="P9" t="s">
        <v>55</v>
      </c>
      <c r="Q9">
        <v>808915</v>
      </c>
      <c r="R9" t="s">
        <v>20</v>
      </c>
    </row>
    <row r="10" spans="1:18" x14ac:dyDescent="0.25">
      <c r="A10">
        <v>808915</v>
      </c>
      <c r="B10" t="s">
        <v>49</v>
      </c>
      <c r="C10" t="s">
        <v>50</v>
      </c>
      <c r="D10" t="s">
        <v>51</v>
      </c>
      <c r="E10" t="s">
        <v>38</v>
      </c>
      <c r="F10" t="s">
        <v>39</v>
      </c>
      <c r="G10">
        <v>37</v>
      </c>
      <c r="H10" t="s">
        <v>52</v>
      </c>
      <c r="I10" t="s">
        <v>53</v>
      </c>
      <c r="J10">
        <v>808915</v>
      </c>
      <c r="K10" t="s">
        <v>47</v>
      </c>
      <c r="L10" s="1">
        <v>42421.65625</v>
      </c>
      <c r="M10" s="1">
        <v>42421</v>
      </c>
      <c r="N10" s="3">
        <f>INT(BrightTV_JoinedTablesnw_2026_04_16_23_55_09[[#This Row],[Viewership.RecordDate22]])</f>
        <v>42421</v>
      </c>
      <c r="O10" s="2">
        <v>0.65625</v>
      </c>
      <c r="P10" t="s">
        <v>56</v>
      </c>
      <c r="Q10">
        <v>808915</v>
      </c>
      <c r="R10" t="s">
        <v>20</v>
      </c>
    </row>
    <row r="11" spans="1:18" x14ac:dyDescent="0.25">
      <c r="A11">
        <v>808916</v>
      </c>
      <c r="B11" t="s">
        <v>57</v>
      </c>
      <c r="C11" t="s">
        <v>58</v>
      </c>
      <c r="D11" t="s">
        <v>59</v>
      </c>
      <c r="E11" t="s">
        <v>38</v>
      </c>
      <c r="F11" t="s">
        <v>16</v>
      </c>
      <c r="G11">
        <v>43</v>
      </c>
      <c r="H11" t="s">
        <v>60</v>
      </c>
      <c r="I11" t="s">
        <v>61</v>
      </c>
      <c r="J11">
        <v>808916</v>
      </c>
      <c r="K11" t="s">
        <v>62</v>
      </c>
      <c r="L11" s="1">
        <v>42419.543749999997</v>
      </c>
      <c r="M11" s="1">
        <v>42419</v>
      </c>
      <c r="N11" s="3">
        <f>INT(BrightTV_JoinedTablesnw_2026_04_16_23_55_09[[#This Row],[Viewership.RecordDate22]])</f>
        <v>42419</v>
      </c>
      <c r="O11" s="2">
        <v>0.54374999999999996</v>
      </c>
      <c r="P11" t="s">
        <v>63</v>
      </c>
      <c r="Q11">
        <v>808916</v>
      </c>
      <c r="R11" t="s">
        <v>20</v>
      </c>
    </row>
    <row r="12" spans="1:18" x14ac:dyDescent="0.25">
      <c r="A12">
        <v>808916</v>
      </c>
      <c r="B12" t="s">
        <v>57</v>
      </c>
      <c r="C12" t="s">
        <v>58</v>
      </c>
      <c r="D12" t="s">
        <v>59</v>
      </c>
      <c r="E12" t="s">
        <v>38</v>
      </c>
      <c r="F12" t="s">
        <v>16</v>
      </c>
      <c r="G12">
        <v>43</v>
      </c>
      <c r="H12" t="s">
        <v>60</v>
      </c>
      <c r="I12" t="s">
        <v>61</v>
      </c>
      <c r="J12">
        <v>808916</v>
      </c>
      <c r="K12" t="s">
        <v>30</v>
      </c>
      <c r="L12" s="1">
        <v>42419.927083333336</v>
      </c>
      <c r="M12" s="1">
        <v>42419</v>
      </c>
      <c r="N12" s="3">
        <f>INT(BrightTV_JoinedTablesnw_2026_04_16_23_55_09[[#This Row],[Viewership.RecordDate22]])</f>
        <v>42419</v>
      </c>
      <c r="O12" s="2">
        <v>0.92708333333333337</v>
      </c>
      <c r="P12" t="s">
        <v>64</v>
      </c>
      <c r="Q12">
        <v>808916</v>
      </c>
      <c r="R12" t="s">
        <v>20</v>
      </c>
    </row>
    <row r="13" spans="1:18" x14ac:dyDescent="0.25">
      <c r="A13">
        <v>808917</v>
      </c>
      <c r="B13" t="s">
        <v>65</v>
      </c>
      <c r="C13" t="s">
        <v>66</v>
      </c>
      <c r="D13" t="s">
        <v>67</v>
      </c>
      <c r="E13" t="s">
        <v>38</v>
      </c>
      <c r="F13" t="s">
        <v>39</v>
      </c>
      <c r="G13">
        <v>34</v>
      </c>
      <c r="H13" t="s">
        <v>40</v>
      </c>
      <c r="I13" t="s">
        <v>68</v>
      </c>
      <c r="J13">
        <v>808917</v>
      </c>
      <c r="K13" t="s">
        <v>69</v>
      </c>
      <c r="L13" s="1">
        <v>42427.842361111114</v>
      </c>
      <c r="M13" s="1">
        <v>42427</v>
      </c>
      <c r="N13" s="3">
        <f>INT(BrightTV_JoinedTablesnw_2026_04_16_23_55_09[[#This Row],[Viewership.RecordDate22]])</f>
        <v>42427</v>
      </c>
      <c r="O13" s="2">
        <v>0.84236111111111112</v>
      </c>
      <c r="P13" t="s">
        <v>70</v>
      </c>
      <c r="Q13">
        <v>808917</v>
      </c>
      <c r="R13" t="s">
        <v>20</v>
      </c>
    </row>
    <row r="14" spans="1:18" x14ac:dyDescent="0.25">
      <c r="A14">
        <v>808917</v>
      </c>
      <c r="B14" t="s">
        <v>65</v>
      </c>
      <c r="C14" t="s">
        <v>66</v>
      </c>
      <c r="D14" t="s">
        <v>67</v>
      </c>
      <c r="E14" t="s">
        <v>38</v>
      </c>
      <c r="F14" t="s">
        <v>39</v>
      </c>
      <c r="G14">
        <v>34</v>
      </c>
      <c r="H14" t="s">
        <v>40</v>
      </c>
      <c r="I14" t="s">
        <v>68</v>
      </c>
      <c r="J14">
        <v>808917</v>
      </c>
      <c r="K14" t="s">
        <v>47</v>
      </c>
      <c r="L14" s="1">
        <v>42428.930555555555</v>
      </c>
      <c r="M14" s="1">
        <v>42428</v>
      </c>
      <c r="N14" s="3">
        <f>INT(BrightTV_JoinedTablesnw_2026_04_16_23_55_09[[#This Row],[Viewership.RecordDate22]])</f>
        <v>42428</v>
      </c>
      <c r="O14" s="2">
        <v>0.93055555555555558</v>
      </c>
      <c r="P14" t="s">
        <v>71</v>
      </c>
      <c r="Q14">
        <v>808917</v>
      </c>
      <c r="R14" t="s">
        <v>20</v>
      </c>
    </row>
    <row r="15" spans="1:18" x14ac:dyDescent="0.25">
      <c r="A15">
        <v>808921</v>
      </c>
      <c r="B15" t="s">
        <v>72</v>
      </c>
      <c r="C15" t="s">
        <v>73</v>
      </c>
      <c r="D15" t="s">
        <v>74</v>
      </c>
      <c r="E15" t="s">
        <v>38</v>
      </c>
      <c r="F15" t="s">
        <v>39</v>
      </c>
      <c r="G15">
        <v>24</v>
      </c>
      <c r="H15" t="s">
        <v>75</v>
      </c>
      <c r="I15" t="s">
        <v>76</v>
      </c>
      <c r="J15">
        <v>808921</v>
      </c>
      <c r="K15" t="s">
        <v>77</v>
      </c>
      <c r="L15" s="1">
        <v>42431.334027777775</v>
      </c>
      <c r="M15" s="1">
        <v>42431</v>
      </c>
      <c r="N15" s="3">
        <f>INT(BrightTV_JoinedTablesnw_2026_04_16_23_55_09[[#This Row],[Viewership.RecordDate22]])</f>
        <v>42431</v>
      </c>
      <c r="O15" s="2">
        <v>0.33402777777777776</v>
      </c>
      <c r="P15" t="s">
        <v>78</v>
      </c>
      <c r="Q15">
        <v>808921</v>
      </c>
      <c r="R15" t="s">
        <v>20</v>
      </c>
    </row>
    <row r="16" spans="1:18" x14ac:dyDescent="0.25">
      <c r="A16">
        <v>808921</v>
      </c>
      <c r="B16" t="s">
        <v>72</v>
      </c>
      <c r="C16" t="s">
        <v>73</v>
      </c>
      <c r="D16" t="s">
        <v>74</v>
      </c>
      <c r="E16" t="s">
        <v>38</v>
      </c>
      <c r="F16" t="s">
        <v>39</v>
      </c>
      <c r="G16">
        <v>24</v>
      </c>
      <c r="H16" t="s">
        <v>75</v>
      </c>
      <c r="I16" t="s">
        <v>76</v>
      </c>
      <c r="J16">
        <v>808921</v>
      </c>
      <c r="K16" t="s">
        <v>32</v>
      </c>
      <c r="L16" s="1">
        <v>42435.748611111114</v>
      </c>
      <c r="M16" s="1">
        <v>42435</v>
      </c>
      <c r="N16" s="3">
        <f>INT(BrightTV_JoinedTablesnw_2026_04_16_23_55_09[[#This Row],[Viewership.RecordDate22]])</f>
        <v>42435</v>
      </c>
      <c r="O16" s="2">
        <v>0.74861111111111112</v>
      </c>
      <c r="P16" t="s">
        <v>79</v>
      </c>
      <c r="Q16">
        <v>808921</v>
      </c>
      <c r="R16" t="s">
        <v>20</v>
      </c>
    </row>
    <row r="17" spans="1:18" x14ac:dyDescent="0.25">
      <c r="A17">
        <v>761775</v>
      </c>
      <c r="B17" t="s">
        <v>80</v>
      </c>
      <c r="C17" t="s">
        <v>81</v>
      </c>
      <c r="D17" t="s">
        <v>82</v>
      </c>
      <c r="E17" t="s">
        <v>38</v>
      </c>
      <c r="F17" t="s">
        <v>16</v>
      </c>
      <c r="G17">
        <v>24</v>
      </c>
      <c r="H17" t="s">
        <v>40</v>
      </c>
      <c r="I17" t="s">
        <v>83</v>
      </c>
      <c r="J17">
        <v>761775</v>
      </c>
      <c r="K17" t="s">
        <v>84</v>
      </c>
      <c r="L17" s="1">
        <v>42404.675000000003</v>
      </c>
      <c r="M17" s="1">
        <v>42404</v>
      </c>
      <c r="N17" s="3">
        <f>INT(BrightTV_JoinedTablesnw_2026_04_16_23_55_09[[#This Row],[Viewership.RecordDate22]])</f>
        <v>42404</v>
      </c>
      <c r="O17" s="2">
        <v>0.67500000000000004</v>
      </c>
      <c r="P17" t="s">
        <v>85</v>
      </c>
      <c r="Q17">
        <v>761775</v>
      </c>
      <c r="R17" t="s">
        <v>20</v>
      </c>
    </row>
    <row r="18" spans="1:18" x14ac:dyDescent="0.25">
      <c r="A18">
        <v>761775</v>
      </c>
      <c r="B18" t="s">
        <v>80</v>
      </c>
      <c r="C18" t="s">
        <v>81</v>
      </c>
      <c r="D18" t="s">
        <v>82</v>
      </c>
      <c r="E18" t="s">
        <v>38</v>
      </c>
      <c r="F18" t="s">
        <v>16</v>
      </c>
      <c r="G18">
        <v>24</v>
      </c>
      <c r="H18" t="s">
        <v>40</v>
      </c>
      <c r="I18" t="s">
        <v>83</v>
      </c>
      <c r="J18">
        <v>761775</v>
      </c>
      <c r="K18" t="s">
        <v>54</v>
      </c>
      <c r="L18" s="1">
        <v>42394.749305555553</v>
      </c>
      <c r="M18" s="1">
        <v>42394</v>
      </c>
      <c r="N18" s="3">
        <f>INT(BrightTV_JoinedTablesnw_2026_04_16_23_55_09[[#This Row],[Viewership.RecordDate22]])</f>
        <v>42394</v>
      </c>
      <c r="O18" s="2">
        <v>0.74930555555555556</v>
      </c>
      <c r="P18" t="s">
        <v>55</v>
      </c>
      <c r="Q18">
        <v>761775</v>
      </c>
      <c r="R18" t="s">
        <v>20</v>
      </c>
    </row>
    <row r="19" spans="1:18" x14ac:dyDescent="0.25">
      <c r="A19">
        <v>808923</v>
      </c>
      <c r="B19" t="s">
        <v>86</v>
      </c>
      <c r="C19" t="s">
        <v>87</v>
      </c>
      <c r="D19" t="s">
        <v>88</v>
      </c>
      <c r="E19" t="s">
        <v>38</v>
      </c>
      <c r="F19" t="s">
        <v>89</v>
      </c>
      <c r="G19">
        <v>23</v>
      </c>
      <c r="H19" t="s">
        <v>26</v>
      </c>
      <c r="I19" t="s">
        <v>90</v>
      </c>
      <c r="J19">
        <v>808923</v>
      </c>
      <c r="K19" t="s">
        <v>54</v>
      </c>
      <c r="L19" s="1">
        <v>42421.835416666669</v>
      </c>
      <c r="M19" s="1">
        <v>42421</v>
      </c>
      <c r="N19" s="3">
        <f>INT(BrightTV_JoinedTablesnw_2026_04_16_23_55_09[[#This Row],[Viewership.RecordDate22]])</f>
        <v>42421</v>
      </c>
      <c r="O19" s="2">
        <v>0.8354166666666667</v>
      </c>
      <c r="P19" t="s">
        <v>91</v>
      </c>
      <c r="Q19">
        <v>808923</v>
      </c>
      <c r="R19" t="s">
        <v>20</v>
      </c>
    </row>
    <row r="20" spans="1:18" x14ac:dyDescent="0.25">
      <c r="A20">
        <v>808923</v>
      </c>
      <c r="B20" t="s">
        <v>86</v>
      </c>
      <c r="C20" t="s">
        <v>87</v>
      </c>
      <c r="D20" t="s">
        <v>88</v>
      </c>
      <c r="E20" t="s">
        <v>38</v>
      </c>
      <c r="F20" t="s">
        <v>89</v>
      </c>
      <c r="G20">
        <v>23</v>
      </c>
      <c r="H20" t="s">
        <v>26</v>
      </c>
      <c r="I20" t="s">
        <v>90</v>
      </c>
      <c r="J20">
        <v>808923</v>
      </c>
      <c r="K20" t="s">
        <v>77</v>
      </c>
      <c r="L20" s="1">
        <v>42417.864583333336</v>
      </c>
      <c r="M20" s="1">
        <v>42417</v>
      </c>
      <c r="N20" s="3">
        <f>INT(BrightTV_JoinedTablesnw_2026_04_16_23_55_09[[#This Row],[Viewership.RecordDate22]])</f>
        <v>42417</v>
      </c>
      <c r="O20" s="2">
        <v>0.86458333333333337</v>
      </c>
      <c r="P20" t="s">
        <v>92</v>
      </c>
      <c r="Q20">
        <v>808923</v>
      </c>
      <c r="R20" t="s">
        <v>20</v>
      </c>
    </row>
    <row r="21" spans="1:18" x14ac:dyDescent="0.25">
      <c r="A21">
        <v>808926</v>
      </c>
      <c r="B21" t="s">
        <v>93</v>
      </c>
      <c r="C21" t="s">
        <v>94</v>
      </c>
      <c r="D21" t="s">
        <v>95</v>
      </c>
      <c r="E21" t="s">
        <v>38</v>
      </c>
      <c r="F21" t="s">
        <v>96</v>
      </c>
      <c r="G21">
        <v>22</v>
      </c>
      <c r="H21" t="s">
        <v>60</v>
      </c>
      <c r="I21" t="s">
        <v>97</v>
      </c>
      <c r="J21">
        <v>808926</v>
      </c>
      <c r="K21" t="s">
        <v>47</v>
      </c>
      <c r="L21" s="1">
        <v>42419.388888888891</v>
      </c>
      <c r="M21" s="1">
        <v>42419</v>
      </c>
      <c r="N21" s="3">
        <f>INT(BrightTV_JoinedTablesnw_2026_04_16_23_55_09[[#This Row],[Viewership.RecordDate22]])</f>
        <v>42419</v>
      </c>
      <c r="O21" s="2">
        <v>0.3888888888888889</v>
      </c>
      <c r="P21" t="s">
        <v>98</v>
      </c>
      <c r="Q21">
        <v>808926</v>
      </c>
      <c r="R21" t="s">
        <v>20</v>
      </c>
    </row>
    <row r="22" spans="1:18" x14ac:dyDescent="0.25">
      <c r="A22">
        <v>808926</v>
      </c>
      <c r="B22" t="s">
        <v>93</v>
      </c>
      <c r="C22" t="s">
        <v>94</v>
      </c>
      <c r="D22" t="s">
        <v>95</v>
      </c>
      <c r="E22" t="s">
        <v>38</v>
      </c>
      <c r="F22" t="s">
        <v>96</v>
      </c>
      <c r="G22">
        <v>22</v>
      </c>
      <c r="H22" t="s">
        <v>60</v>
      </c>
      <c r="I22" t="s">
        <v>97</v>
      </c>
      <c r="J22">
        <v>808926</v>
      </c>
      <c r="K22" t="s">
        <v>32</v>
      </c>
      <c r="L22" s="1">
        <v>42421.352083333331</v>
      </c>
      <c r="M22" s="1">
        <v>42421</v>
      </c>
      <c r="N22" s="3">
        <f>INT(BrightTV_JoinedTablesnw_2026_04_16_23_55_09[[#This Row],[Viewership.RecordDate22]])</f>
        <v>42421</v>
      </c>
      <c r="O22" s="2">
        <v>0.35208333333333336</v>
      </c>
      <c r="P22" t="s">
        <v>99</v>
      </c>
      <c r="Q22">
        <v>808926</v>
      </c>
      <c r="R22" t="s">
        <v>20</v>
      </c>
    </row>
    <row r="23" spans="1:18" x14ac:dyDescent="0.25">
      <c r="A23">
        <v>808926</v>
      </c>
      <c r="B23" t="s">
        <v>93</v>
      </c>
      <c r="C23" t="s">
        <v>94</v>
      </c>
      <c r="D23" t="s">
        <v>95</v>
      </c>
      <c r="E23" t="s">
        <v>38</v>
      </c>
      <c r="F23" t="s">
        <v>96</v>
      </c>
      <c r="G23">
        <v>22</v>
      </c>
      <c r="H23" t="s">
        <v>60</v>
      </c>
      <c r="I23" t="s">
        <v>97</v>
      </c>
      <c r="J23">
        <v>808926</v>
      </c>
      <c r="K23" t="s">
        <v>77</v>
      </c>
      <c r="L23" s="1">
        <v>42402.511805555558</v>
      </c>
      <c r="M23" s="1">
        <v>42402</v>
      </c>
      <c r="N23" s="3">
        <f>INT(BrightTV_JoinedTablesnw_2026_04_16_23_55_09[[#This Row],[Viewership.RecordDate22]])</f>
        <v>42402</v>
      </c>
      <c r="O23" s="2">
        <v>0.51180555555555551</v>
      </c>
      <c r="P23" t="s">
        <v>100</v>
      </c>
      <c r="Q23">
        <v>808926</v>
      </c>
      <c r="R23" t="s">
        <v>20</v>
      </c>
    </row>
    <row r="24" spans="1:18" x14ac:dyDescent="0.25">
      <c r="A24">
        <v>808926</v>
      </c>
      <c r="B24" t="s">
        <v>93</v>
      </c>
      <c r="C24" t="s">
        <v>94</v>
      </c>
      <c r="D24" t="s">
        <v>95</v>
      </c>
      <c r="E24" t="s">
        <v>38</v>
      </c>
      <c r="F24" t="s">
        <v>96</v>
      </c>
      <c r="G24">
        <v>22</v>
      </c>
      <c r="H24" t="s">
        <v>60</v>
      </c>
      <c r="I24" t="s">
        <v>97</v>
      </c>
      <c r="J24">
        <v>808926</v>
      </c>
      <c r="K24" t="s">
        <v>47</v>
      </c>
      <c r="L24" s="1">
        <v>42425.359722222223</v>
      </c>
      <c r="M24" s="1">
        <v>42425</v>
      </c>
      <c r="N24" s="3">
        <f>INT(BrightTV_JoinedTablesnw_2026_04_16_23_55_09[[#This Row],[Viewership.RecordDate22]])</f>
        <v>42425</v>
      </c>
      <c r="O24" s="2">
        <v>0.35972222222222222</v>
      </c>
      <c r="P24" t="s">
        <v>101</v>
      </c>
      <c r="Q24">
        <v>808926</v>
      </c>
      <c r="R24" t="s">
        <v>20</v>
      </c>
    </row>
    <row r="25" spans="1:18" x14ac:dyDescent="0.25">
      <c r="A25">
        <v>808926</v>
      </c>
      <c r="B25" t="s">
        <v>93</v>
      </c>
      <c r="C25" t="s">
        <v>94</v>
      </c>
      <c r="D25" t="s">
        <v>95</v>
      </c>
      <c r="E25" t="s">
        <v>38</v>
      </c>
      <c r="F25" t="s">
        <v>96</v>
      </c>
      <c r="G25">
        <v>22</v>
      </c>
      <c r="H25" t="s">
        <v>60</v>
      </c>
      <c r="I25" t="s">
        <v>97</v>
      </c>
      <c r="J25">
        <v>808926</v>
      </c>
      <c r="K25" t="s">
        <v>84</v>
      </c>
      <c r="L25" s="1">
        <v>42418.583333333336</v>
      </c>
      <c r="M25" s="1">
        <v>42418</v>
      </c>
      <c r="N25" s="3">
        <f>INT(BrightTV_JoinedTablesnw_2026_04_16_23_55_09[[#This Row],[Viewership.RecordDate22]])</f>
        <v>42418</v>
      </c>
      <c r="O25" s="2">
        <v>0.58333333333333337</v>
      </c>
      <c r="P25" t="s">
        <v>102</v>
      </c>
      <c r="Q25">
        <v>808926</v>
      </c>
      <c r="R25" t="s">
        <v>20</v>
      </c>
    </row>
    <row r="26" spans="1:18" x14ac:dyDescent="0.25">
      <c r="A26">
        <v>771783</v>
      </c>
      <c r="B26" t="s">
        <v>103</v>
      </c>
      <c r="C26" t="s">
        <v>104</v>
      </c>
      <c r="D26" t="s">
        <v>105</v>
      </c>
      <c r="E26" t="s">
        <v>38</v>
      </c>
      <c r="F26" t="s">
        <v>106</v>
      </c>
      <c r="G26">
        <v>23</v>
      </c>
      <c r="H26" t="s">
        <v>40</v>
      </c>
      <c r="I26" t="s">
        <v>107</v>
      </c>
      <c r="J26">
        <v>771783</v>
      </c>
      <c r="K26" t="s">
        <v>77</v>
      </c>
      <c r="L26" s="1">
        <v>42401.618750000001</v>
      </c>
      <c r="M26" s="1">
        <v>42401</v>
      </c>
      <c r="N26" s="3">
        <f>INT(BrightTV_JoinedTablesnw_2026_04_16_23_55_09[[#This Row],[Viewership.RecordDate22]])</f>
        <v>42401</v>
      </c>
      <c r="O26" s="2">
        <v>0.61875000000000002</v>
      </c>
      <c r="P26" t="s">
        <v>108</v>
      </c>
      <c r="Q26">
        <v>771783</v>
      </c>
      <c r="R26" t="s">
        <v>20</v>
      </c>
    </row>
    <row r="27" spans="1:18" x14ac:dyDescent="0.25">
      <c r="A27">
        <v>771783</v>
      </c>
      <c r="B27" t="s">
        <v>103</v>
      </c>
      <c r="C27" t="s">
        <v>104</v>
      </c>
      <c r="D27" t="s">
        <v>105</v>
      </c>
      <c r="E27" t="s">
        <v>38</v>
      </c>
      <c r="F27" t="s">
        <v>106</v>
      </c>
      <c r="G27">
        <v>23</v>
      </c>
      <c r="H27" t="s">
        <v>40</v>
      </c>
      <c r="I27" t="s">
        <v>107</v>
      </c>
      <c r="J27">
        <v>771783</v>
      </c>
      <c r="K27" t="s">
        <v>28</v>
      </c>
      <c r="L27" s="1">
        <v>42399.988194444442</v>
      </c>
      <c r="M27" s="1">
        <v>42399</v>
      </c>
      <c r="N27" s="3">
        <f>INT(BrightTV_JoinedTablesnw_2026_04_16_23_55_09[[#This Row],[Viewership.RecordDate22]])</f>
        <v>42399</v>
      </c>
      <c r="O27" s="2">
        <v>0.98819444444444449</v>
      </c>
      <c r="P27" t="s">
        <v>109</v>
      </c>
      <c r="Q27">
        <v>771783</v>
      </c>
      <c r="R27" t="s">
        <v>20</v>
      </c>
    </row>
    <row r="28" spans="1:18" x14ac:dyDescent="0.25">
      <c r="A28">
        <v>788616</v>
      </c>
      <c r="B28" t="s">
        <v>110</v>
      </c>
      <c r="C28" t="s">
        <v>111</v>
      </c>
      <c r="D28" t="s">
        <v>112</v>
      </c>
      <c r="E28" t="s">
        <v>24</v>
      </c>
      <c r="F28" t="s">
        <v>39</v>
      </c>
      <c r="G28">
        <v>44</v>
      </c>
      <c r="H28" t="s">
        <v>40</v>
      </c>
      <c r="I28" t="s">
        <v>113</v>
      </c>
      <c r="J28">
        <v>788616</v>
      </c>
      <c r="K28" t="s">
        <v>54</v>
      </c>
      <c r="L28" s="1">
        <v>42396.585416666669</v>
      </c>
      <c r="M28" s="1">
        <v>42396</v>
      </c>
      <c r="N28" s="3">
        <f>INT(BrightTV_JoinedTablesnw_2026_04_16_23_55_09[[#This Row],[Viewership.RecordDate22]])</f>
        <v>42396</v>
      </c>
      <c r="O28" s="2">
        <v>0.5854166666666667</v>
      </c>
      <c r="P28" t="s">
        <v>114</v>
      </c>
      <c r="Q28">
        <v>788616</v>
      </c>
      <c r="R28" t="s">
        <v>20</v>
      </c>
    </row>
    <row r="29" spans="1:18" x14ac:dyDescent="0.25">
      <c r="A29">
        <v>771785</v>
      </c>
      <c r="B29" t="s">
        <v>115</v>
      </c>
      <c r="C29" t="s">
        <v>116</v>
      </c>
      <c r="D29" t="s">
        <v>117</v>
      </c>
      <c r="E29" t="s">
        <v>38</v>
      </c>
      <c r="F29" t="s">
        <v>39</v>
      </c>
      <c r="G29">
        <v>43</v>
      </c>
      <c r="H29" t="s">
        <v>40</v>
      </c>
      <c r="I29" t="s">
        <v>118</v>
      </c>
      <c r="J29">
        <v>771785</v>
      </c>
      <c r="K29" t="s">
        <v>18</v>
      </c>
      <c r="L29" s="1">
        <v>42428.786805555559</v>
      </c>
      <c r="M29" s="1">
        <v>42428</v>
      </c>
      <c r="N29" s="3">
        <f>INT(BrightTV_JoinedTablesnw_2026_04_16_23_55_09[[#This Row],[Viewership.RecordDate22]])</f>
        <v>42428</v>
      </c>
      <c r="O29" s="2">
        <v>0.78680555555555554</v>
      </c>
      <c r="P29" t="s">
        <v>119</v>
      </c>
      <c r="Q29">
        <v>771785</v>
      </c>
      <c r="R29" t="s">
        <v>20</v>
      </c>
    </row>
    <row r="30" spans="1:18" x14ac:dyDescent="0.25">
      <c r="A30">
        <v>630977</v>
      </c>
      <c r="B30" t="s">
        <v>80</v>
      </c>
      <c r="C30" t="s">
        <v>111</v>
      </c>
      <c r="D30" t="s">
        <v>120</v>
      </c>
      <c r="E30" t="s">
        <v>38</v>
      </c>
      <c r="F30" t="s">
        <v>96</v>
      </c>
      <c r="G30">
        <v>28</v>
      </c>
      <c r="H30" t="s">
        <v>40</v>
      </c>
      <c r="I30" t="s">
        <v>83</v>
      </c>
      <c r="J30">
        <v>630977</v>
      </c>
      <c r="K30" t="s">
        <v>77</v>
      </c>
      <c r="L30" s="1">
        <v>42385.494444444441</v>
      </c>
      <c r="M30" s="1">
        <v>42385</v>
      </c>
      <c r="N30" s="3">
        <f>INT(BrightTV_JoinedTablesnw_2026_04_16_23_55_09[[#This Row],[Viewership.RecordDate22]])</f>
        <v>42385</v>
      </c>
      <c r="O30" s="2">
        <v>0.49444444444444446</v>
      </c>
      <c r="P30" t="s">
        <v>121</v>
      </c>
      <c r="Q30">
        <v>630977</v>
      </c>
      <c r="R30" t="s">
        <v>20</v>
      </c>
    </row>
    <row r="31" spans="1:18" x14ac:dyDescent="0.25">
      <c r="A31">
        <v>808928</v>
      </c>
      <c r="B31" t="s">
        <v>122</v>
      </c>
      <c r="C31" t="s">
        <v>123</v>
      </c>
      <c r="D31" t="s">
        <v>124</v>
      </c>
      <c r="E31" t="s">
        <v>38</v>
      </c>
      <c r="F31" t="s">
        <v>39</v>
      </c>
      <c r="G31">
        <v>35</v>
      </c>
      <c r="H31" t="s">
        <v>40</v>
      </c>
      <c r="I31" t="s">
        <v>125</v>
      </c>
      <c r="J31">
        <v>808928</v>
      </c>
      <c r="K31" t="s">
        <v>32</v>
      </c>
      <c r="L31" s="1">
        <v>42413.899305555555</v>
      </c>
      <c r="M31" s="1">
        <v>42413</v>
      </c>
      <c r="N31" s="3">
        <f>INT(BrightTV_JoinedTablesnw_2026_04_16_23_55_09[[#This Row],[Viewership.RecordDate22]])</f>
        <v>42413</v>
      </c>
      <c r="O31" s="2">
        <v>0.89930555555555558</v>
      </c>
      <c r="P31" t="s">
        <v>126</v>
      </c>
      <c r="Q31">
        <v>808928</v>
      </c>
      <c r="R31" t="s">
        <v>20</v>
      </c>
    </row>
    <row r="32" spans="1:18" x14ac:dyDescent="0.25">
      <c r="A32">
        <v>808928</v>
      </c>
      <c r="B32" t="s">
        <v>122</v>
      </c>
      <c r="C32" t="s">
        <v>123</v>
      </c>
      <c r="D32" t="s">
        <v>124</v>
      </c>
      <c r="E32" t="s">
        <v>38</v>
      </c>
      <c r="F32" t="s">
        <v>39</v>
      </c>
      <c r="G32">
        <v>35</v>
      </c>
      <c r="H32" t="s">
        <v>40</v>
      </c>
      <c r="I32" t="s">
        <v>125</v>
      </c>
      <c r="J32">
        <v>808928</v>
      </c>
      <c r="K32" t="s">
        <v>18</v>
      </c>
      <c r="L32" s="1">
        <v>42430.59375</v>
      </c>
      <c r="M32" s="1">
        <v>42430</v>
      </c>
      <c r="N32" s="3">
        <f>INT(BrightTV_JoinedTablesnw_2026_04_16_23_55_09[[#This Row],[Viewership.RecordDate22]])</f>
        <v>42430</v>
      </c>
      <c r="O32" s="2">
        <v>0.59375</v>
      </c>
      <c r="P32" t="s">
        <v>64</v>
      </c>
      <c r="Q32">
        <v>808928</v>
      </c>
      <c r="R32" t="s">
        <v>20</v>
      </c>
    </row>
    <row r="33" spans="1:18" x14ac:dyDescent="0.25">
      <c r="A33">
        <v>808929</v>
      </c>
      <c r="B33" t="s">
        <v>110</v>
      </c>
      <c r="C33" t="s">
        <v>111</v>
      </c>
      <c r="D33" t="s">
        <v>127</v>
      </c>
      <c r="E33" t="s">
        <v>24</v>
      </c>
      <c r="F33" t="s">
        <v>39</v>
      </c>
      <c r="G33">
        <v>32</v>
      </c>
      <c r="H33" t="s">
        <v>26</v>
      </c>
      <c r="I33" t="s">
        <v>128</v>
      </c>
      <c r="J33">
        <v>808929</v>
      </c>
      <c r="K33" t="s">
        <v>129</v>
      </c>
      <c r="L33" s="1">
        <v>42380.845833333333</v>
      </c>
      <c r="M33" s="1">
        <v>42380</v>
      </c>
      <c r="N33" s="3">
        <f>INT(BrightTV_JoinedTablesnw_2026_04_16_23_55_09[[#This Row],[Viewership.RecordDate22]])</f>
        <v>42380</v>
      </c>
      <c r="O33" s="2">
        <v>0.84583333333333333</v>
      </c>
      <c r="P33" t="s">
        <v>130</v>
      </c>
      <c r="Q33">
        <v>808929</v>
      </c>
      <c r="R33" t="s">
        <v>20</v>
      </c>
    </row>
    <row r="34" spans="1:18" x14ac:dyDescent="0.25">
      <c r="A34">
        <v>808929</v>
      </c>
      <c r="B34" t="s">
        <v>110</v>
      </c>
      <c r="C34" t="s">
        <v>111</v>
      </c>
      <c r="D34" t="s">
        <v>127</v>
      </c>
      <c r="E34" t="s">
        <v>24</v>
      </c>
      <c r="F34" t="s">
        <v>39</v>
      </c>
      <c r="G34">
        <v>32</v>
      </c>
      <c r="H34" t="s">
        <v>26</v>
      </c>
      <c r="I34" t="s">
        <v>128</v>
      </c>
      <c r="J34">
        <v>808929</v>
      </c>
      <c r="K34" t="s">
        <v>84</v>
      </c>
      <c r="L34" s="1">
        <v>42393.857638888891</v>
      </c>
      <c r="M34" s="1">
        <v>42393</v>
      </c>
      <c r="N34" s="3">
        <f>INT(BrightTV_JoinedTablesnw_2026_04_16_23_55_09[[#This Row],[Viewership.RecordDate22]])</f>
        <v>42393</v>
      </c>
      <c r="O34" s="2">
        <v>0.85763888888888884</v>
      </c>
      <c r="P34" t="s">
        <v>131</v>
      </c>
      <c r="Q34">
        <v>808929</v>
      </c>
      <c r="R34" t="s">
        <v>20</v>
      </c>
    </row>
    <row r="35" spans="1:18" x14ac:dyDescent="0.25">
      <c r="A35">
        <v>770963</v>
      </c>
      <c r="B35" t="s">
        <v>16</v>
      </c>
      <c r="C35" t="s">
        <v>16</v>
      </c>
      <c r="D35" t="s">
        <v>132</v>
      </c>
      <c r="E35" t="s">
        <v>16</v>
      </c>
      <c r="F35" t="s">
        <v>16</v>
      </c>
      <c r="G35">
        <v>0</v>
      </c>
      <c r="H35" t="s">
        <v>16</v>
      </c>
      <c r="I35" t="s">
        <v>16</v>
      </c>
      <c r="J35">
        <v>770963</v>
      </c>
      <c r="K35" t="s">
        <v>47</v>
      </c>
      <c r="L35" s="1">
        <v>42453.489583333336</v>
      </c>
      <c r="M35" s="1">
        <v>42453</v>
      </c>
      <c r="N35" s="3">
        <f>INT(BrightTV_JoinedTablesnw_2026_04_16_23_55_09[[#This Row],[Viewership.RecordDate22]])</f>
        <v>42453</v>
      </c>
      <c r="O35" s="2">
        <v>0.48958333333333331</v>
      </c>
      <c r="P35" t="s">
        <v>133</v>
      </c>
      <c r="Q35">
        <v>770963</v>
      </c>
      <c r="R35" t="s">
        <v>20</v>
      </c>
    </row>
    <row r="36" spans="1:18" x14ac:dyDescent="0.25">
      <c r="A36">
        <v>770963</v>
      </c>
      <c r="B36" t="s">
        <v>16</v>
      </c>
      <c r="C36" t="s">
        <v>16</v>
      </c>
      <c r="D36" t="s">
        <v>132</v>
      </c>
      <c r="E36" t="s">
        <v>16</v>
      </c>
      <c r="F36" t="s">
        <v>16</v>
      </c>
      <c r="G36">
        <v>0</v>
      </c>
      <c r="H36" t="s">
        <v>16</v>
      </c>
      <c r="I36" t="s">
        <v>16</v>
      </c>
      <c r="J36">
        <v>770963</v>
      </c>
      <c r="K36" t="s">
        <v>18</v>
      </c>
      <c r="L36" s="1">
        <v>42425.477777777778</v>
      </c>
      <c r="M36" s="1">
        <v>42425</v>
      </c>
      <c r="N36" s="3">
        <f>INT(BrightTV_JoinedTablesnw_2026_04_16_23_55_09[[#This Row],[Viewership.RecordDate22]])</f>
        <v>42425</v>
      </c>
      <c r="O36" s="2">
        <v>0.4777777777777778</v>
      </c>
      <c r="P36" t="s">
        <v>134</v>
      </c>
      <c r="Q36">
        <v>770963</v>
      </c>
      <c r="R36" t="s">
        <v>20</v>
      </c>
    </row>
    <row r="37" spans="1:18" x14ac:dyDescent="0.25">
      <c r="A37">
        <v>808930</v>
      </c>
      <c r="B37" t="s">
        <v>135</v>
      </c>
      <c r="C37" t="s">
        <v>136</v>
      </c>
      <c r="D37" t="s">
        <v>137</v>
      </c>
      <c r="E37" t="s">
        <v>38</v>
      </c>
      <c r="F37" t="s">
        <v>106</v>
      </c>
      <c r="G37">
        <v>35</v>
      </c>
      <c r="H37" t="s">
        <v>138</v>
      </c>
      <c r="I37" t="s">
        <v>139</v>
      </c>
      <c r="J37">
        <v>808930</v>
      </c>
      <c r="K37" t="s">
        <v>47</v>
      </c>
      <c r="L37" s="1">
        <v>42422.436805555553</v>
      </c>
      <c r="M37" s="1">
        <v>42422</v>
      </c>
      <c r="N37" s="3">
        <f>INT(BrightTV_JoinedTablesnw_2026_04_16_23_55_09[[#This Row],[Viewership.RecordDate22]])</f>
        <v>42422</v>
      </c>
      <c r="O37" s="2">
        <v>0.43680555555555556</v>
      </c>
      <c r="P37" t="s">
        <v>140</v>
      </c>
      <c r="Q37">
        <v>808930</v>
      </c>
      <c r="R37" t="s">
        <v>20</v>
      </c>
    </row>
    <row r="38" spans="1:18" x14ac:dyDescent="0.25">
      <c r="A38">
        <v>808930</v>
      </c>
      <c r="B38" t="s">
        <v>135</v>
      </c>
      <c r="C38" t="s">
        <v>136</v>
      </c>
      <c r="D38" t="s">
        <v>137</v>
      </c>
      <c r="E38" t="s">
        <v>38</v>
      </c>
      <c r="F38" t="s">
        <v>106</v>
      </c>
      <c r="G38">
        <v>35</v>
      </c>
      <c r="H38" t="s">
        <v>138</v>
      </c>
      <c r="I38" t="s">
        <v>139</v>
      </c>
      <c r="J38">
        <v>808930</v>
      </c>
      <c r="K38" t="s">
        <v>18</v>
      </c>
      <c r="L38" s="1">
        <v>42431.484722222223</v>
      </c>
      <c r="M38" s="1">
        <v>42431</v>
      </c>
      <c r="N38" s="3">
        <f>INT(BrightTV_JoinedTablesnw_2026_04_16_23_55_09[[#This Row],[Viewership.RecordDate22]])</f>
        <v>42431</v>
      </c>
      <c r="O38" s="2">
        <v>0.48472222222222222</v>
      </c>
      <c r="P38" t="s">
        <v>141</v>
      </c>
      <c r="Q38">
        <v>808930</v>
      </c>
      <c r="R38" t="s">
        <v>20</v>
      </c>
    </row>
    <row r="39" spans="1:18" x14ac:dyDescent="0.25">
      <c r="A39">
        <v>808930</v>
      </c>
      <c r="B39" t="s">
        <v>135</v>
      </c>
      <c r="C39" t="s">
        <v>136</v>
      </c>
      <c r="D39" t="s">
        <v>137</v>
      </c>
      <c r="E39" t="s">
        <v>38</v>
      </c>
      <c r="F39" t="s">
        <v>106</v>
      </c>
      <c r="G39">
        <v>35</v>
      </c>
      <c r="H39" t="s">
        <v>138</v>
      </c>
      <c r="I39" t="s">
        <v>139</v>
      </c>
      <c r="J39">
        <v>808930</v>
      </c>
      <c r="K39" t="s">
        <v>18</v>
      </c>
      <c r="L39" s="1">
        <v>42440.444444444445</v>
      </c>
      <c r="M39" s="1">
        <v>42440</v>
      </c>
      <c r="N39" s="3">
        <f>INT(BrightTV_JoinedTablesnw_2026_04_16_23_55_09[[#This Row],[Viewership.RecordDate22]])</f>
        <v>42440</v>
      </c>
      <c r="O39" s="2">
        <v>0.44444444444444442</v>
      </c>
      <c r="P39" t="s">
        <v>64</v>
      </c>
      <c r="Q39">
        <v>808930</v>
      </c>
      <c r="R39" t="s">
        <v>20</v>
      </c>
    </row>
    <row r="40" spans="1:18" x14ac:dyDescent="0.25">
      <c r="A40">
        <v>808930</v>
      </c>
      <c r="B40" t="s">
        <v>135</v>
      </c>
      <c r="C40" t="s">
        <v>136</v>
      </c>
      <c r="D40" t="s">
        <v>137</v>
      </c>
      <c r="E40" t="s">
        <v>38</v>
      </c>
      <c r="F40" t="s">
        <v>106</v>
      </c>
      <c r="G40">
        <v>35</v>
      </c>
      <c r="H40" t="s">
        <v>138</v>
      </c>
      <c r="I40" t="s">
        <v>139</v>
      </c>
      <c r="J40">
        <v>808930</v>
      </c>
      <c r="K40" t="s">
        <v>18</v>
      </c>
      <c r="L40" s="1">
        <v>42424.557638888888</v>
      </c>
      <c r="M40" s="1">
        <v>42424</v>
      </c>
      <c r="N40" s="3">
        <f>INT(BrightTV_JoinedTablesnw_2026_04_16_23_55_09[[#This Row],[Viewership.RecordDate22]])</f>
        <v>42424</v>
      </c>
      <c r="O40" s="2">
        <v>0.55763888888888891</v>
      </c>
      <c r="P40" t="s">
        <v>142</v>
      </c>
      <c r="Q40">
        <v>808930</v>
      </c>
      <c r="R40" t="s">
        <v>20</v>
      </c>
    </row>
    <row r="41" spans="1:18" x14ac:dyDescent="0.25">
      <c r="A41">
        <v>808930</v>
      </c>
      <c r="B41" t="s">
        <v>135</v>
      </c>
      <c r="C41" t="s">
        <v>136</v>
      </c>
      <c r="D41" t="s">
        <v>137</v>
      </c>
      <c r="E41" t="s">
        <v>38</v>
      </c>
      <c r="F41" t="s">
        <v>106</v>
      </c>
      <c r="G41">
        <v>35</v>
      </c>
      <c r="H41" t="s">
        <v>138</v>
      </c>
      <c r="I41" t="s">
        <v>139</v>
      </c>
      <c r="J41">
        <v>808930</v>
      </c>
      <c r="K41" t="s">
        <v>18</v>
      </c>
      <c r="L41" s="1">
        <v>42424.439583333333</v>
      </c>
      <c r="M41" s="1">
        <v>42424</v>
      </c>
      <c r="N41" s="3">
        <f>INT(BrightTV_JoinedTablesnw_2026_04_16_23_55_09[[#This Row],[Viewership.RecordDate22]])</f>
        <v>42424</v>
      </c>
      <c r="O41" s="2">
        <v>0.43958333333333333</v>
      </c>
      <c r="P41" t="s">
        <v>143</v>
      </c>
      <c r="Q41">
        <v>808930</v>
      </c>
      <c r="R41" t="s">
        <v>20</v>
      </c>
    </row>
    <row r="42" spans="1:18" x14ac:dyDescent="0.25">
      <c r="A42">
        <v>808930</v>
      </c>
      <c r="B42" t="s">
        <v>135</v>
      </c>
      <c r="C42" t="s">
        <v>136</v>
      </c>
      <c r="D42" t="s">
        <v>137</v>
      </c>
      <c r="E42" t="s">
        <v>38</v>
      </c>
      <c r="F42" t="s">
        <v>106</v>
      </c>
      <c r="G42">
        <v>35</v>
      </c>
      <c r="H42" t="s">
        <v>138</v>
      </c>
      <c r="I42" t="s">
        <v>139</v>
      </c>
      <c r="J42">
        <v>808930</v>
      </c>
      <c r="K42" t="s">
        <v>47</v>
      </c>
      <c r="L42" s="1">
        <v>42427.799305555556</v>
      </c>
      <c r="M42" s="1">
        <v>42427</v>
      </c>
      <c r="N42" s="3">
        <f>INT(BrightTV_JoinedTablesnw_2026_04_16_23_55_09[[#This Row],[Viewership.RecordDate22]])</f>
        <v>42427</v>
      </c>
      <c r="O42" s="2">
        <v>0.7993055555555556</v>
      </c>
      <c r="P42" t="s">
        <v>144</v>
      </c>
      <c r="Q42">
        <v>808930</v>
      </c>
      <c r="R42" t="s">
        <v>20</v>
      </c>
    </row>
    <row r="43" spans="1:18" x14ac:dyDescent="0.25">
      <c r="A43">
        <v>808930</v>
      </c>
      <c r="B43" t="s">
        <v>135</v>
      </c>
      <c r="C43" t="s">
        <v>136</v>
      </c>
      <c r="D43" t="s">
        <v>137</v>
      </c>
      <c r="E43" t="s">
        <v>38</v>
      </c>
      <c r="F43" t="s">
        <v>106</v>
      </c>
      <c r="G43">
        <v>35</v>
      </c>
      <c r="H43" t="s">
        <v>138</v>
      </c>
      <c r="I43" t="s">
        <v>139</v>
      </c>
      <c r="J43">
        <v>808930</v>
      </c>
      <c r="K43" t="s">
        <v>18</v>
      </c>
      <c r="L43" s="1">
        <v>42423.726388888892</v>
      </c>
      <c r="M43" s="1">
        <v>42423</v>
      </c>
      <c r="N43" s="3">
        <f>INT(BrightTV_JoinedTablesnw_2026_04_16_23_55_09[[#This Row],[Viewership.RecordDate22]])</f>
        <v>42423</v>
      </c>
      <c r="O43" s="2">
        <v>0.72638888888888886</v>
      </c>
      <c r="P43" t="s">
        <v>145</v>
      </c>
      <c r="Q43">
        <v>808930</v>
      </c>
      <c r="R43" t="s">
        <v>20</v>
      </c>
    </row>
    <row r="44" spans="1:18" x14ac:dyDescent="0.25">
      <c r="A44">
        <v>808930</v>
      </c>
      <c r="B44" t="s">
        <v>135</v>
      </c>
      <c r="C44" t="s">
        <v>136</v>
      </c>
      <c r="D44" t="s">
        <v>137</v>
      </c>
      <c r="E44" t="s">
        <v>38</v>
      </c>
      <c r="F44" t="s">
        <v>106</v>
      </c>
      <c r="G44">
        <v>35</v>
      </c>
      <c r="H44" t="s">
        <v>138</v>
      </c>
      <c r="I44" t="s">
        <v>139</v>
      </c>
      <c r="J44">
        <v>808930</v>
      </c>
      <c r="K44" t="s">
        <v>18</v>
      </c>
      <c r="L44" s="1">
        <v>42459.59652777778</v>
      </c>
      <c r="M44" s="1">
        <v>42459</v>
      </c>
      <c r="N44" s="3">
        <f>INT(BrightTV_JoinedTablesnw_2026_04_16_23_55_09[[#This Row],[Viewership.RecordDate22]])</f>
        <v>42459</v>
      </c>
      <c r="O44" s="2">
        <v>0.59652777777777777</v>
      </c>
      <c r="P44" t="s">
        <v>146</v>
      </c>
      <c r="Q44">
        <v>808930</v>
      </c>
      <c r="R44" t="s">
        <v>20</v>
      </c>
    </row>
    <row r="45" spans="1:18" x14ac:dyDescent="0.25">
      <c r="A45">
        <v>771791</v>
      </c>
      <c r="B45" t="s">
        <v>147</v>
      </c>
      <c r="C45" t="s">
        <v>148</v>
      </c>
      <c r="D45" t="s">
        <v>149</v>
      </c>
      <c r="E45" t="s">
        <v>38</v>
      </c>
      <c r="F45" t="s">
        <v>39</v>
      </c>
      <c r="G45">
        <v>34</v>
      </c>
      <c r="H45" t="s">
        <v>40</v>
      </c>
      <c r="I45" t="s">
        <v>150</v>
      </c>
      <c r="J45">
        <v>771791</v>
      </c>
      <c r="K45" t="s">
        <v>32</v>
      </c>
      <c r="L45" s="1">
        <v>42443.57708333333</v>
      </c>
      <c r="M45" s="1">
        <v>42443</v>
      </c>
      <c r="N45" s="3">
        <f>INT(BrightTV_JoinedTablesnw_2026_04_16_23_55_09[[#This Row],[Viewership.RecordDate22]])</f>
        <v>42443</v>
      </c>
      <c r="O45" s="2">
        <v>0.57708333333333328</v>
      </c>
      <c r="P45" t="s">
        <v>151</v>
      </c>
      <c r="Q45">
        <v>771791</v>
      </c>
      <c r="R45" t="s">
        <v>20</v>
      </c>
    </row>
    <row r="46" spans="1:18" x14ac:dyDescent="0.25">
      <c r="A46">
        <v>771791</v>
      </c>
      <c r="B46" t="s">
        <v>147</v>
      </c>
      <c r="C46" t="s">
        <v>148</v>
      </c>
      <c r="D46" t="s">
        <v>149</v>
      </c>
      <c r="E46" t="s">
        <v>38</v>
      </c>
      <c r="F46" t="s">
        <v>39</v>
      </c>
      <c r="G46">
        <v>34</v>
      </c>
      <c r="H46" t="s">
        <v>40</v>
      </c>
      <c r="I46" t="s">
        <v>150</v>
      </c>
      <c r="J46">
        <v>771791</v>
      </c>
      <c r="K46" t="s">
        <v>152</v>
      </c>
      <c r="L46" s="1">
        <v>42435.293055555558</v>
      </c>
      <c r="M46" s="1">
        <v>42435</v>
      </c>
      <c r="N46" s="3">
        <f>INT(BrightTV_JoinedTablesnw_2026_04_16_23_55_09[[#This Row],[Viewership.RecordDate22]])</f>
        <v>42435</v>
      </c>
      <c r="O46" s="2">
        <v>0.29305555555555557</v>
      </c>
      <c r="P46" t="s">
        <v>153</v>
      </c>
      <c r="Q46">
        <v>771791</v>
      </c>
      <c r="R46" t="s">
        <v>20</v>
      </c>
    </row>
    <row r="47" spans="1:18" x14ac:dyDescent="0.25">
      <c r="A47">
        <v>1373</v>
      </c>
      <c r="B47" t="s">
        <v>154</v>
      </c>
      <c r="C47" t="s">
        <v>155</v>
      </c>
      <c r="D47" t="s">
        <v>156</v>
      </c>
      <c r="E47" t="s">
        <v>38</v>
      </c>
      <c r="F47" t="s">
        <v>25</v>
      </c>
      <c r="G47">
        <v>19</v>
      </c>
      <c r="H47" t="s">
        <v>52</v>
      </c>
      <c r="I47" t="s">
        <v>157</v>
      </c>
      <c r="J47">
        <v>1373</v>
      </c>
      <c r="K47" t="s">
        <v>84</v>
      </c>
      <c r="L47" s="1">
        <v>42428.526388888888</v>
      </c>
      <c r="M47" s="1">
        <v>42428</v>
      </c>
      <c r="N47" s="3">
        <f>INT(BrightTV_JoinedTablesnw_2026_04_16_23_55_09[[#This Row],[Viewership.RecordDate22]])</f>
        <v>42428</v>
      </c>
      <c r="O47" s="2">
        <v>0.52638888888888891</v>
      </c>
      <c r="P47" t="s">
        <v>64</v>
      </c>
      <c r="Q47">
        <v>1373</v>
      </c>
      <c r="R47" t="s">
        <v>20</v>
      </c>
    </row>
    <row r="48" spans="1:18" x14ac:dyDescent="0.25">
      <c r="A48">
        <v>808971</v>
      </c>
      <c r="B48" t="s">
        <v>158</v>
      </c>
      <c r="C48" t="s">
        <v>94</v>
      </c>
      <c r="D48" t="s">
        <v>159</v>
      </c>
      <c r="E48" t="s">
        <v>38</v>
      </c>
      <c r="F48" t="s">
        <v>39</v>
      </c>
      <c r="G48">
        <v>36</v>
      </c>
      <c r="H48" t="s">
        <v>40</v>
      </c>
      <c r="I48" t="s">
        <v>160</v>
      </c>
      <c r="J48">
        <v>808971</v>
      </c>
      <c r="K48" t="s">
        <v>30</v>
      </c>
      <c r="L48" s="1">
        <v>42408.53125</v>
      </c>
      <c r="M48" s="1">
        <v>42408</v>
      </c>
      <c r="N48" s="3">
        <f>INT(BrightTV_JoinedTablesnw_2026_04_16_23_55_09[[#This Row],[Viewership.RecordDate22]])</f>
        <v>42408</v>
      </c>
      <c r="O48" s="2">
        <v>0.53125</v>
      </c>
      <c r="P48" t="s">
        <v>161</v>
      </c>
      <c r="Q48">
        <v>808971</v>
      </c>
      <c r="R48" t="s">
        <v>20</v>
      </c>
    </row>
    <row r="49" spans="1:18" x14ac:dyDescent="0.25">
      <c r="A49">
        <v>808971</v>
      </c>
      <c r="B49" t="s">
        <v>158</v>
      </c>
      <c r="C49" t="s">
        <v>94</v>
      </c>
      <c r="D49" t="s">
        <v>159</v>
      </c>
      <c r="E49" t="s">
        <v>38</v>
      </c>
      <c r="F49" t="s">
        <v>39</v>
      </c>
      <c r="G49">
        <v>36</v>
      </c>
      <c r="H49" t="s">
        <v>40</v>
      </c>
      <c r="I49" t="s">
        <v>160</v>
      </c>
      <c r="J49">
        <v>808971</v>
      </c>
      <c r="K49" t="s">
        <v>30</v>
      </c>
      <c r="L49" s="1">
        <v>42418.852777777778</v>
      </c>
      <c r="M49" s="1">
        <v>42418</v>
      </c>
      <c r="N49" s="3">
        <f>INT(BrightTV_JoinedTablesnw_2026_04_16_23_55_09[[#This Row],[Viewership.RecordDate22]])</f>
        <v>42418</v>
      </c>
      <c r="O49" s="2">
        <v>0.85277777777777775</v>
      </c>
      <c r="P49" t="s">
        <v>130</v>
      </c>
      <c r="Q49">
        <v>808971</v>
      </c>
      <c r="R49" t="s">
        <v>20</v>
      </c>
    </row>
    <row r="50" spans="1:18" x14ac:dyDescent="0.25">
      <c r="A50">
        <v>808971</v>
      </c>
      <c r="B50" t="s">
        <v>158</v>
      </c>
      <c r="C50" t="s">
        <v>94</v>
      </c>
      <c r="D50" t="s">
        <v>159</v>
      </c>
      <c r="E50" t="s">
        <v>38</v>
      </c>
      <c r="F50" t="s">
        <v>39</v>
      </c>
      <c r="G50">
        <v>36</v>
      </c>
      <c r="H50" t="s">
        <v>40</v>
      </c>
      <c r="I50" t="s">
        <v>160</v>
      </c>
      <c r="J50">
        <v>808971</v>
      </c>
      <c r="K50" t="s">
        <v>30</v>
      </c>
      <c r="L50" s="1">
        <v>42407.65347222222</v>
      </c>
      <c r="M50" s="1">
        <v>42407</v>
      </c>
      <c r="N50" s="3">
        <f>INT(BrightTV_JoinedTablesnw_2026_04_16_23_55_09[[#This Row],[Viewership.RecordDate22]])</f>
        <v>42407</v>
      </c>
      <c r="O50" s="2">
        <v>0.65347222222222223</v>
      </c>
      <c r="P50" t="s">
        <v>100</v>
      </c>
      <c r="Q50">
        <v>808971</v>
      </c>
      <c r="R50" t="s">
        <v>20</v>
      </c>
    </row>
    <row r="51" spans="1:18" x14ac:dyDescent="0.25">
      <c r="A51">
        <v>808971</v>
      </c>
      <c r="B51" t="s">
        <v>158</v>
      </c>
      <c r="C51" t="s">
        <v>94</v>
      </c>
      <c r="D51" t="s">
        <v>159</v>
      </c>
      <c r="E51" t="s">
        <v>38</v>
      </c>
      <c r="F51" t="s">
        <v>39</v>
      </c>
      <c r="G51">
        <v>36</v>
      </c>
      <c r="H51" t="s">
        <v>40</v>
      </c>
      <c r="I51" t="s">
        <v>160</v>
      </c>
      <c r="J51">
        <v>808971</v>
      </c>
      <c r="K51" t="s">
        <v>30</v>
      </c>
      <c r="L51" s="1">
        <v>42407.927083333336</v>
      </c>
      <c r="M51" s="1">
        <v>42407</v>
      </c>
      <c r="N51" s="3">
        <f>INT(BrightTV_JoinedTablesnw_2026_04_16_23_55_09[[#This Row],[Viewership.RecordDate22]])</f>
        <v>42407</v>
      </c>
      <c r="O51" s="2">
        <v>0.92708333333333337</v>
      </c>
      <c r="P51" t="s">
        <v>162</v>
      </c>
      <c r="Q51">
        <v>808971</v>
      </c>
      <c r="R51" t="s">
        <v>20</v>
      </c>
    </row>
    <row r="52" spans="1:18" x14ac:dyDescent="0.25">
      <c r="A52">
        <v>808971</v>
      </c>
      <c r="B52" t="s">
        <v>158</v>
      </c>
      <c r="C52" t="s">
        <v>94</v>
      </c>
      <c r="D52" t="s">
        <v>159</v>
      </c>
      <c r="E52" t="s">
        <v>38</v>
      </c>
      <c r="F52" t="s">
        <v>39</v>
      </c>
      <c r="G52">
        <v>36</v>
      </c>
      <c r="H52" t="s">
        <v>40</v>
      </c>
      <c r="I52" t="s">
        <v>160</v>
      </c>
      <c r="J52">
        <v>808971</v>
      </c>
      <c r="K52" t="s">
        <v>32</v>
      </c>
      <c r="L52" s="1">
        <v>42395.677777777775</v>
      </c>
      <c r="M52" s="1">
        <v>42395</v>
      </c>
      <c r="N52" s="3">
        <f>INT(BrightTV_JoinedTablesnw_2026_04_16_23_55_09[[#This Row],[Viewership.RecordDate22]])</f>
        <v>42395</v>
      </c>
      <c r="O52" s="2">
        <v>0.67777777777777781</v>
      </c>
      <c r="P52" t="s">
        <v>163</v>
      </c>
      <c r="Q52">
        <v>808971</v>
      </c>
      <c r="R52" t="s">
        <v>20</v>
      </c>
    </row>
    <row r="53" spans="1:18" x14ac:dyDescent="0.25">
      <c r="A53">
        <v>808971</v>
      </c>
      <c r="B53" t="s">
        <v>158</v>
      </c>
      <c r="C53" t="s">
        <v>94</v>
      </c>
      <c r="D53" t="s">
        <v>159</v>
      </c>
      <c r="E53" t="s">
        <v>38</v>
      </c>
      <c r="F53" t="s">
        <v>39</v>
      </c>
      <c r="G53">
        <v>36</v>
      </c>
      <c r="H53" t="s">
        <v>40</v>
      </c>
      <c r="I53" t="s">
        <v>160</v>
      </c>
      <c r="J53">
        <v>808971</v>
      </c>
      <c r="K53" t="s">
        <v>30</v>
      </c>
      <c r="L53" s="1">
        <v>42459.888194444444</v>
      </c>
      <c r="M53" s="1">
        <v>42459</v>
      </c>
      <c r="N53" s="3">
        <f>INT(BrightTV_JoinedTablesnw_2026_04_16_23_55_09[[#This Row],[Viewership.RecordDate22]])</f>
        <v>42459</v>
      </c>
      <c r="O53" s="2">
        <v>0.8881944444444444</v>
      </c>
      <c r="P53" t="s">
        <v>64</v>
      </c>
      <c r="Q53">
        <v>808971</v>
      </c>
      <c r="R53" t="s">
        <v>20</v>
      </c>
    </row>
    <row r="54" spans="1:18" x14ac:dyDescent="0.25">
      <c r="A54">
        <v>808971</v>
      </c>
      <c r="B54" t="s">
        <v>158</v>
      </c>
      <c r="C54" t="s">
        <v>94</v>
      </c>
      <c r="D54" t="s">
        <v>159</v>
      </c>
      <c r="E54" t="s">
        <v>38</v>
      </c>
      <c r="F54" t="s">
        <v>39</v>
      </c>
      <c r="G54">
        <v>36</v>
      </c>
      <c r="H54" t="s">
        <v>40</v>
      </c>
      <c r="I54" t="s">
        <v>160</v>
      </c>
      <c r="J54">
        <v>808971</v>
      </c>
      <c r="K54" t="s">
        <v>30</v>
      </c>
      <c r="L54" s="1">
        <v>42454.682638888888</v>
      </c>
      <c r="M54" s="1">
        <v>42454</v>
      </c>
      <c r="N54" s="3">
        <f>INT(BrightTV_JoinedTablesnw_2026_04_16_23_55_09[[#This Row],[Viewership.RecordDate22]])</f>
        <v>42454</v>
      </c>
      <c r="O54" s="2">
        <v>0.68263888888888891</v>
      </c>
      <c r="P54" t="s">
        <v>164</v>
      </c>
      <c r="Q54">
        <v>808971</v>
      </c>
      <c r="R54" t="s">
        <v>20</v>
      </c>
    </row>
    <row r="55" spans="1:18" x14ac:dyDescent="0.25">
      <c r="A55">
        <v>779369</v>
      </c>
      <c r="B55" t="s">
        <v>165</v>
      </c>
      <c r="C55" t="s">
        <v>166</v>
      </c>
      <c r="D55" t="s">
        <v>167</v>
      </c>
      <c r="E55" t="s">
        <v>38</v>
      </c>
      <c r="F55" t="s">
        <v>39</v>
      </c>
      <c r="G55">
        <v>36</v>
      </c>
      <c r="H55" t="s">
        <v>40</v>
      </c>
      <c r="I55" t="s">
        <v>168</v>
      </c>
      <c r="J55">
        <v>779369</v>
      </c>
      <c r="K55" t="s">
        <v>169</v>
      </c>
      <c r="L55" s="1">
        <v>42411.899305555555</v>
      </c>
      <c r="M55" s="1">
        <v>42411</v>
      </c>
      <c r="N55" s="3">
        <f>INT(BrightTV_JoinedTablesnw_2026_04_16_23_55_09[[#This Row],[Viewership.RecordDate22]])</f>
        <v>42411</v>
      </c>
      <c r="O55" s="2">
        <v>0.89930555555555558</v>
      </c>
      <c r="P55" t="s">
        <v>170</v>
      </c>
      <c r="Q55">
        <v>779369</v>
      </c>
      <c r="R55" t="s">
        <v>20</v>
      </c>
    </row>
    <row r="56" spans="1:18" x14ac:dyDescent="0.25">
      <c r="A56">
        <v>779369</v>
      </c>
      <c r="B56" t="s">
        <v>165</v>
      </c>
      <c r="C56" t="s">
        <v>166</v>
      </c>
      <c r="D56" t="s">
        <v>167</v>
      </c>
      <c r="E56" t="s">
        <v>38</v>
      </c>
      <c r="F56" t="s">
        <v>39</v>
      </c>
      <c r="G56">
        <v>36</v>
      </c>
      <c r="H56" t="s">
        <v>40</v>
      </c>
      <c r="I56" t="s">
        <v>168</v>
      </c>
      <c r="J56">
        <v>779369</v>
      </c>
      <c r="K56" t="s">
        <v>62</v>
      </c>
      <c r="L56" s="1">
        <v>42389.305555555555</v>
      </c>
      <c r="M56" s="1">
        <v>42389</v>
      </c>
      <c r="N56" s="3">
        <f>INT(BrightTV_JoinedTablesnw_2026_04_16_23_55_09[[#This Row],[Viewership.RecordDate22]])</f>
        <v>42389</v>
      </c>
      <c r="O56" s="2">
        <v>0.30555555555555558</v>
      </c>
      <c r="P56" t="s">
        <v>171</v>
      </c>
      <c r="Q56">
        <v>779369</v>
      </c>
      <c r="R56" t="s">
        <v>20</v>
      </c>
    </row>
    <row r="57" spans="1:18" x14ac:dyDescent="0.25">
      <c r="A57">
        <v>779369</v>
      </c>
      <c r="B57" t="s">
        <v>165</v>
      </c>
      <c r="C57" t="s">
        <v>166</v>
      </c>
      <c r="D57" t="s">
        <v>167</v>
      </c>
      <c r="E57" t="s">
        <v>38</v>
      </c>
      <c r="F57" t="s">
        <v>39</v>
      </c>
      <c r="G57">
        <v>36</v>
      </c>
      <c r="H57" t="s">
        <v>40</v>
      </c>
      <c r="I57" t="s">
        <v>168</v>
      </c>
      <c r="J57">
        <v>779369</v>
      </c>
      <c r="K57" t="s">
        <v>169</v>
      </c>
      <c r="L57" s="1">
        <v>42387.629166666666</v>
      </c>
      <c r="M57" s="1">
        <v>42387</v>
      </c>
      <c r="N57" s="3">
        <f>INT(BrightTV_JoinedTablesnw_2026_04_16_23_55_09[[#This Row],[Viewership.RecordDate22]])</f>
        <v>42387</v>
      </c>
      <c r="O57" s="2">
        <v>0.62916666666666665</v>
      </c>
      <c r="P57" t="s">
        <v>172</v>
      </c>
      <c r="Q57">
        <v>779369</v>
      </c>
      <c r="R57" t="s">
        <v>20</v>
      </c>
    </row>
    <row r="58" spans="1:18" x14ac:dyDescent="0.25">
      <c r="A58">
        <v>1445</v>
      </c>
      <c r="B58" t="s">
        <v>115</v>
      </c>
      <c r="C58" t="s">
        <v>148</v>
      </c>
      <c r="D58" t="s">
        <v>117</v>
      </c>
      <c r="E58" t="s">
        <v>38</v>
      </c>
      <c r="F58" t="s">
        <v>96</v>
      </c>
      <c r="G58">
        <v>13</v>
      </c>
      <c r="H58" t="s">
        <v>173</v>
      </c>
      <c r="I58" t="s">
        <v>118</v>
      </c>
      <c r="J58">
        <v>1445</v>
      </c>
      <c r="K58" t="s">
        <v>54</v>
      </c>
      <c r="L58" s="1">
        <v>42425.525694444441</v>
      </c>
      <c r="M58" s="1">
        <v>42425</v>
      </c>
      <c r="N58" s="3">
        <f>INT(BrightTV_JoinedTablesnw_2026_04_16_23_55_09[[#This Row],[Viewership.RecordDate22]])</f>
        <v>42425</v>
      </c>
      <c r="O58" s="2">
        <v>0.52569444444444446</v>
      </c>
      <c r="P58" t="s">
        <v>174</v>
      </c>
      <c r="Q58">
        <v>1445</v>
      </c>
      <c r="R58" t="s">
        <v>20</v>
      </c>
    </row>
    <row r="59" spans="1:18" x14ac:dyDescent="0.25">
      <c r="A59">
        <v>1445</v>
      </c>
      <c r="B59" t="s">
        <v>115</v>
      </c>
      <c r="C59" t="s">
        <v>148</v>
      </c>
      <c r="D59" t="s">
        <v>117</v>
      </c>
      <c r="E59" t="s">
        <v>38</v>
      </c>
      <c r="F59" t="s">
        <v>96</v>
      </c>
      <c r="G59">
        <v>13</v>
      </c>
      <c r="H59" t="s">
        <v>173</v>
      </c>
      <c r="I59" t="s">
        <v>118</v>
      </c>
      <c r="J59">
        <v>1445</v>
      </c>
      <c r="K59" t="s">
        <v>169</v>
      </c>
      <c r="L59" s="1">
        <v>42435.740972222222</v>
      </c>
      <c r="M59" s="1">
        <v>42435</v>
      </c>
      <c r="N59" s="3">
        <f>INT(BrightTV_JoinedTablesnw_2026_04_16_23_55_09[[#This Row],[Viewership.RecordDate22]])</f>
        <v>42435</v>
      </c>
      <c r="O59" s="2">
        <v>0.74097222222222225</v>
      </c>
      <c r="P59" t="s">
        <v>175</v>
      </c>
      <c r="Q59">
        <v>1445</v>
      </c>
      <c r="R59" t="s">
        <v>20</v>
      </c>
    </row>
    <row r="60" spans="1:18" x14ac:dyDescent="0.25">
      <c r="A60">
        <v>615057</v>
      </c>
      <c r="B60" t="s">
        <v>176</v>
      </c>
      <c r="C60" t="s">
        <v>177</v>
      </c>
      <c r="D60" t="s">
        <v>178</v>
      </c>
      <c r="E60" t="s">
        <v>24</v>
      </c>
      <c r="F60" t="s">
        <v>39</v>
      </c>
      <c r="G60">
        <v>25</v>
      </c>
      <c r="H60" t="s">
        <v>138</v>
      </c>
      <c r="I60" t="s">
        <v>179</v>
      </c>
      <c r="J60">
        <v>615057</v>
      </c>
      <c r="K60" t="s">
        <v>32</v>
      </c>
      <c r="L60" s="1">
        <v>42379.398611111108</v>
      </c>
      <c r="M60" s="1">
        <v>42379</v>
      </c>
      <c r="N60" s="3">
        <f>INT(BrightTV_JoinedTablesnw_2026_04_16_23_55_09[[#This Row],[Viewership.RecordDate22]])</f>
        <v>42379</v>
      </c>
      <c r="O60" s="2">
        <v>0.39861111111111114</v>
      </c>
      <c r="P60" t="s">
        <v>180</v>
      </c>
      <c r="Q60">
        <v>615057</v>
      </c>
      <c r="R60" t="s">
        <v>20</v>
      </c>
    </row>
    <row r="61" spans="1:18" x14ac:dyDescent="0.25">
      <c r="A61">
        <v>786055</v>
      </c>
      <c r="B61" t="s">
        <v>181</v>
      </c>
      <c r="C61" t="s">
        <v>182</v>
      </c>
      <c r="D61" t="s">
        <v>183</v>
      </c>
      <c r="E61" t="s">
        <v>24</v>
      </c>
      <c r="F61" t="s">
        <v>25</v>
      </c>
      <c r="G61">
        <v>25</v>
      </c>
      <c r="H61" t="s">
        <v>40</v>
      </c>
      <c r="I61" t="s">
        <v>184</v>
      </c>
      <c r="J61">
        <v>786055</v>
      </c>
      <c r="K61" t="s">
        <v>32</v>
      </c>
      <c r="L61" s="1">
        <v>42388.862500000003</v>
      </c>
      <c r="M61" s="1">
        <v>42388</v>
      </c>
      <c r="N61" s="3">
        <f>INT(BrightTV_JoinedTablesnw_2026_04_16_23_55_09[[#This Row],[Viewership.RecordDate22]])</f>
        <v>42388</v>
      </c>
      <c r="O61" s="2">
        <v>0.86250000000000004</v>
      </c>
      <c r="P61" t="s">
        <v>185</v>
      </c>
      <c r="Q61">
        <v>786055</v>
      </c>
      <c r="R61" t="s">
        <v>20</v>
      </c>
    </row>
    <row r="62" spans="1:18" x14ac:dyDescent="0.25">
      <c r="A62">
        <v>786055</v>
      </c>
      <c r="B62" t="s">
        <v>181</v>
      </c>
      <c r="C62" t="s">
        <v>182</v>
      </c>
      <c r="D62" t="s">
        <v>183</v>
      </c>
      <c r="E62" t="s">
        <v>24</v>
      </c>
      <c r="F62" t="s">
        <v>25</v>
      </c>
      <c r="G62">
        <v>25</v>
      </c>
      <c r="H62" t="s">
        <v>40</v>
      </c>
      <c r="I62" t="s">
        <v>184</v>
      </c>
      <c r="J62">
        <v>786055</v>
      </c>
      <c r="K62" t="s">
        <v>186</v>
      </c>
      <c r="L62" s="1">
        <v>42387.825694444444</v>
      </c>
      <c r="M62" s="1">
        <v>42387</v>
      </c>
      <c r="N62" s="3">
        <f>INT(BrightTV_JoinedTablesnw_2026_04_16_23_55_09[[#This Row],[Viewership.RecordDate22]])</f>
        <v>42387</v>
      </c>
      <c r="O62" s="2">
        <v>0.8256944444444444</v>
      </c>
      <c r="P62" t="s">
        <v>187</v>
      </c>
      <c r="Q62">
        <v>786055</v>
      </c>
      <c r="R62" t="s">
        <v>20</v>
      </c>
    </row>
    <row r="63" spans="1:18" x14ac:dyDescent="0.25">
      <c r="A63">
        <v>764296</v>
      </c>
      <c r="B63" t="s">
        <v>188</v>
      </c>
      <c r="C63" t="s">
        <v>104</v>
      </c>
      <c r="D63" t="s">
        <v>189</v>
      </c>
      <c r="E63" t="s">
        <v>38</v>
      </c>
      <c r="F63" t="s">
        <v>96</v>
      </c>
      <c r="G63">
        <v>23</v>
      </c>
      <c r="H63" t="s">
        <v>60</v>
      </c>
      <c r="I63" t="s">
        <v>190</v>
      </c>
      <c r="J63">
        <v>764296</v>
      </c>
      <c r="K63" t="s">
        <v>62</v>
      </c>
      <c r="L63" s="1">
        <v>42404.445833333331</v>
      </c>
      <c r="M63" s="1">
        <v>42404</v>
      </c>
      <c r="N63" s="3">
        <f>INT(BrightTV_JoinedTablesnw_2026_04_16_23_55_09[[#This Row],[Viewership.RecordDate22]])</f>
        <v>42404</v>
      </c>
      <c r="O63" s="2">
        <v>0.44583333333333336</v>
      </c>
      <c r="P63" t="s">
        <v>191</v>
      </c>
      <c r="Q63">
        <v>764296</v>
      </c>
      <c r="R63" t="s">
        <v>20</v>
      </c>
    </row>
    <row r="64" spans="1:18" x14ac:dyDescent="0.25">
      <c r="A64">
        <v>764296</v>
      </c>
      <c r="B64" t="s">
        <v>188</v>
      </c>
      <c r="C64" t="s">
        <v>104</v>
      </c>
      <c r="D64" t="s">
        <v>189</v>
      </c>
      <c r="E64" t="s">
        <v>38</v>
      </c>
      <c r="F64" t="s">
        <v>96</v>
      </c>
      <c r="G64">
        <v>23</v>
      </c>
      <c r="H64" t="s">
        <v>60</v>
      </c>
      <c r="I64" t="s">
        <v>190</v>
      </c>
      <c r="J64">
        <v>764296</v>
      </c>
      <c r="K64" t="s">
        <v>77</v>
      </c>
      <c r="L64" s="1">
        <v>42401.923611111109</v>
      </c>
      <c r="M64" s="1">
        <v>42401</v>
      </c>
      <c r="N64" s="3">
        <f>INT(BrightTV_JoinedTablesnw_2026_04_16_23_55_09[[#This Row],[Viewership.RecordDate22]])</f>
        <v>42401</v>
      </c>
      <c r="O64" s="2">
        <v>0.92361111111111116</v>
      </c>
      <c r="P64" t="s">
        <v>64</v>
      </c>
      <c r="Q64">
        <v>764296</v>
      </c>
      <c r="R64" t="s">
        <v>20</v>
      </c>
    </row>
    <row r="65" spans="1:18" x14ac:dyDescent="0.25">
      <c r="A65">
        <v>779373</v>
      </c>
      <c r="B65" t="s">
        <v>192</v>
      </c>
      <c r="C65" t="s">
        <v>193</v>
      </c>
      <c r="D65" t="s">
        <v>194</v>
      </c>
      <c r="E65" t="s">
        <v>38</v>
      </c>
      <c r="F65" t="s">
        <v>39</v>
      </c>
      <c r="G65">
        <v>40</v>
      </c>
      <c r="H65" t="s">
        <v>138</v>
      </c>
      <c r="I65" t="s">
        <v>195</v>
      </c>
      <c r="J65">
        <v>779373</v>
      </c>
      <c r="K65" t="s">
        <v>169</v>
      </c>
      <c r="L65" s="1">
        <v>42428.331944444442</v>
      </c>
      <c r="M65" s="1">
        <v>42428</v>
      </c>
      <c r="N65" s="3">
        <f>INT(BrightTV_JoinedTablesnw_2026_04_16_23_55_09[[#This Row],[Viewership.RecordDate22]])</f>
        <v>42428</v>
      </c>
      <c r="O65" s="2">
        <v>0.33194444444444443</v>
      </c>
      <c r="P65" t="s">
        <v>196</v>
      </c>
      <c r="Q65">
        <v>779373</v>
      </c>
      <c r="R65" t="s">
        <v>20</v>
      </c>
    </row>
    <row r="66" spans="1:18" x14ac:dyDescent="0.25">
      <c r="A66">
        <v>771793</v>
      </c>
      <c r="B66" t="s">
        <v>176</v>
      </c>
      <c r="C66" t="s">
        <v>177</v>
      </c>
      <c r="D66" t="s">
        <v>197</v>
      </c>
      <c r="E66" t="s">
        <v>24</v>
      </c>
      <c r="F66" t="s">
        <v>106</v>
      </c>
      <c r="G66">
        <v>40</v>
      </c>
      <c r="H66" t="s">
        <v>60</v>
      </c>
      <c r="I66" t="s">
        <v>198</v>
      </c>
      <c r="J66">
        <v>771793</v>
      </c>
      <c r="K66" t="s">
        <v>47</v>
      </c>
      <c r="L66" s="1">
        <v>42374.981249999997</v>
      </c>
      <c r="M66" s="1">
        <v>42374</v>
      </c>
      <c r="N66" s="3">
        <f>INT(BrightTV_JoinedTablesnw_2026_04_16_23_55_09[[#This Row],[Viewership.RecordDate22]])</f>
        <v>42374</v>
      </c>
      <c r="O66" s="2">
        <v>0.98124999999999996</v>
      </c>
      <c r="P66" t="s">
        <v>199</v>
      </c>
      <c r="Q66">
        <v>771793</v>
      </c>
      <c r="R66" t="s">
        <v>20</v>
      </c>
    </row>
    <row r="67" spans="1:18" x14ac:dyDescent="0.25">
      <c r="A67">
        <v>771793</v>
      </c>
      <c r="B67" t="s">
        <v>176</v>
      </c>
      <c r="C67" t="s">
        <v>177</v>
      </c>
      <c r="D67" t="s">
        <v>197</v>
      </c>
      <c r="E67" t="s">
        <v>24</v>
      </c>
      <c r="F67" t="s">
        <v>106</v>
      </c>
      <c r="G67">
        <v>40</v>
      </c>
      <c r="H67" t="s">
        <v>60</v>
      </c>
      <c r="I67" t="s">
        <v>198</v>
      </c>
      <c r="J67">
        <v>771793</v>
      </c>
      <c r="K67" t="s">
        <v>47</v>
      </c>
      <c r="L67" s="1">
        <v>42379.279861111114</v>
      </c>
      <c r="M67" s="1">
        <v>42379</v>
      </c>
      <c r="N67" s="3">
        <f>INT(BrightTV_JoinedTablesnw_2026_04_16_23_55_09[[#This Row],[Viewership.RecordDate22]])</f>
        <v>42379</v>
      </c>
      <c r="O67" s="2">
        <v>0.27986111111111112</v>
      </c>
      <c r="P67" t="s">
        <v>64</v>
      </c>
      <c r="Q67">
        <v>771793</v>
      </c>
      <c r="R67" t="s">
        <v>20</v>
      </c>
    </row>
    <row r="68" spans="1:18" x14ac:dyDescent="0.25">
      <c r="A68">
        <v>771793</v>
      </c>
      <c r="B68" t="s">
        <v>176</v>
      </c>
      <c r="C68" t="s">
        <v>177</v>
      </c>
      <c r="D68" t="s">
        <v>197</v>
      </c>
      <c r="E68" t="s">
        <v>24</v>
      </c>
      <c r="F68" t="s">
        <v>106</v>
      </c>
      <c r="G68">
        <v>40</v>
      </c>
      <c r="H68" t="s">
        <v>60</v>
      </c>
      <c r="I68" t="s">
        <v>198</v>
      </c>
      <c r="J68">
        <v>771793</v>
      </c>
      <c r="K68" t="s">
        <v>77</v>
      </c>
      <c r="L68" s="1">
        <v>42418.932638888888</v>
      </c>
      <c r="M68" s="1">
        <v>42418</v>
      </c>
      <c r="N68" s="3">
        <f>INT(BrightTV_JoinedTablesnw_2026_04_16_23_55_09[[#This Row],[Viewership.RecordDate22]])</f>
        <v>42418</v>
      </c>
      <c r="O68" s="2">
        <v>0.93263888888888891</v>
      </c>
      <c r="P68" t="s">
        <v>200</v>
      </c>
      <c r="Q68">
        <v>771793</v>
      </c>
      <c r="R68" t="s">
        <v>20</v>
      </c>
    </row>
    <row r="69" spans="1:18" x14ac:dyDescent="0.25">
      <c r="A69">
        <v>771793</v>
      </c>
      <c r="B69" t="s">
        <v>176</v>
      </c>
      <c r="C69" t="s">
        <v>177</v>
      </c>
      <c r="D69" t="s">
        <v>197</v>
      </c>
      <c r="E69" t="s">
        <v>24</v>
      </c>
      <c r="F69" t="s">
        <v>106</v>
      </c>
      <c r="G69">
        <v>40</v>
      </c>
      <c r="H69" t="s">
        <v>60</v>
      </c>
      <c r="I69" t="s">
        <v>198</v>
      </c>
      <c r="J69">
        <v>771793</v>
      </c>
      <c r="K69" t="s">
        <v>77</v>
      </c>
      <c r="L69" s="1">
        <v>42412.109722222223</v>
      </c>
      <c r="M69" s="1">
        <v>42412</v>
      </c>
      <c r="N69" s="3">
        <f>INT(BrightTV_JoinedTablesnw_2026_04_16_23_55_09[[#This Row],[Viewership.RecordDate22]])</f>
        <v>42412</v>
      </c>
      <c r="O69" s="2">
        <v>0.10972222222222222</v>
      </c>
      <c r="P69" t="s">
        <v>201</v>
      </c>
      <c r="Q69">
        <v>771793</v>
      </c>
      <c r="R69" t="s">
        <v>20</v>
      </c>
    </row>
    <row r="70" spans="1:18" x14ac:dyDescent="0.25">
      <c r="A70">
        <v>808934</v>
      </c>
      <c r="B70" t="s">
        <v>135</v>
      </c>
      <c r="C70" t="s">
        <v>202</v>
      </c>
      <c r="D70" t="s">
        <v>203</v>
      </c>
      <c r="E70" t="s">
        <v>38</v>
      </c>
      <c r="F70" t="s">
        <v>106</v>
      </c>
      <c r="G70">
        <v>36</v>
      </c>
      <c r="H70" t="s">
        <v>52</v>
      </c>
      <c r="I70" t="s">
        <v>139</v>
      </c>
      <c r="J70">
        <v>808934</v>
      </c>
      <c r="K70" t="s">
        <v>47</v>
      </c>
      <c r="L70" s="1">
        <v>42453.595138888886</v>
      </c>
      <c r="M70" s="1">
        <v>42453</v>
      </c>
      <c r="N70" s="3">
        <f>INT(BrightTV_JoinedTablesnw_2026_04_16_23_55_09[[#This Row],[Viewership.RecordDate22]])</f>
        <v>42453</v>
      </c>
      <c r="O70" s="2">
        <v>0.59513888888888888</v>
      </c>
      <c r="P70" t="s">
        <v>204</v>
      </c>
      <c r="Q70">
        <v>808934</v>
      </c>
      <c r="R70" t="s">
        <v>20</v>
      </c>
    </row>
    <row r="71" spans="1:18" x14ac:dyDescent="0.25">
      <c r="A71">
        <v>808934</v>
      </c>
      <c r="B71" t="s">
        <v>135</v>
      </c>
      <c r="C71" t="s">
        <v>202</v>
      </c>
      <c r="D71" t="s">
        <v>203</v>
      </c>
      <c r="E71" t="s">
        <v>38</v>
      </c>
      <c r="F71" t="s">
        <v>106</v>
      </c>
      <c r="G71">
        <v>36</v>
      </c>
      <c r="H71" t="s">
        <v>52</v>
      </c>
      <c r="I71" t="s">
        <v>139</v>
      </c>
      <c r="J71">
        <v>808934</v>
      </c>
      <c r="K71" t="s">
        <v>30</v>
      </c>
      <c r="L71" s="1">
        <v>42440.790277777778</v>
      </c>
      <c r="M71" s="1">
        <v>42440</v>
      </c>
      <c r="N71" s="3">
        <f>INT(BrightTV_JoinedTablesnw_2026_04_16_23_55_09[[#This Row],[Viewership.RecordDate22]])</f>
        <v>42440</v>
      </c>
      <c r="O71" s="2">
        <v>0.79027777777777775</v>
      </c>
      <c r="P71" t="s">
        <v>126</v>
      </c>
      <c r="Q71">
        <v>808934</v>
      </c>
      <c r="R71" t="s">
        <v>20</v>
      </c>
    </row>
    <row r="72" spans="1:18" x14ac:dyDescent="0.25">
      <c r="A72">
        <v>808934</v>
      </c>
      <c r="B72" t="s">
        <v>135</v>
      </c>
      <c r="C72" t="s">
        <v>202</v>
      </c>
      <c r="D72" t="s">
        <v>203</v>
      </c>
      <c r="E72" t="s">
        <v>38</v>
      </c>
      <c r="F72" t="s">
        <v>106</v>
      </c>
      <c r="G72">
        <v>36</v>
      </c>
      <c r="H72" t="s">
        <v>52</v>
      </c>
      <c r="I72" t="s">
        <v>139</v>
      </c>
      <c r="J72">
        <v>808934</v>
      </c>
      <c r="K72" t="s">
        <v>47</v>
      </c>
      <c r="L72" s="1">
        <v>42406.37222222222</v>
      </c>
      <c r="M72" s="1">
        <v>42406</v>
      </c>
      <c r="N72" s="3">
        <f>INT(BrightTV_JoinedTablesnw_2026_04_16_23_55_09[[#This Row],[Viewership.RecordDate22]])</f>
        <v>42406</v>
      </c>
      <c r="O72" s="2">
        <v>0.37222222222222223</v>
      </c>
      <c r="P72" t="s">
        <v>64</v>
      </c>
      <c r="Q72">
        <v>808934</v>
      </c>
      <c r="R72" t="s">
        <v>20</v>
      </c>
    </row>
    <row r="73" spans="1:18" x14ac:dyDescent="0.25">
      <c r="A73">
        <v>808934</v>
      </c>
      <c r="B73" t="s">
        <v>135</v>
      </c>
      <c r="C73" t="s">
        <v>202</v>
      </c>
      <c r="D73" t="s">
        <v>203</v>
      </c>
      <c r="E73" t="s">
        <v>38</v>
      </c>
      <c r="F73" t="s">
        <v>106</v>
      </c>
      <c r="G73">
        <v>36</v>
      </c>
      <c r="H73" t="s">
        <v>52</v>
      </c>
      <c r="I73" t="s">
        <v>139</v>
      </c>
      <c r="J73">
        <v>808934</v>
      </c>
      <c r="K73" t="s">
        <v>77</v>
      </c>
      <c r="L73" s="1">
        <v>42406.526388888888</v>
      </c>
      <c r="M73" s="1">
        <v>42406</v>
      </c>
      <c r="N73" s="3">
        <f>INT(BrightTV_JoinedTablesnw_2026_04_16_23_55_09[[#This Row],[Viewership.RecordDate22]])</f>
        <v>42406</v>
      </c>
      <c r="O73" s="2">
        <v>0.52638888888888891</v>
      </c>
      <c r="P73" t="s">
        <v>205</v>
      </c>
      <c r="Q73">
        <v>808934</v>
      </c>
      <c r="R73" t="s">
        <v>20</v>
      </c>
    </row>
    <row r="74" spans="1:18" x14ac:dyDescent="0.25">
      <c r="A74">
        <v>808934</v>
      </c>
      <c r="B74" t="s">
        <v>135</v>
      </c>
      <c r="C74" t="s">
        <v>202</v>
      </c>
      <c r="D74" t="s">
        <v>203</v>
      </c>
      <c r="E74" t="s">
        <v>38</v>
      </c>
      <c r="F74" t="s">
        <v>106</v>
      </c>
      <c r="G74">
        <v>36</v>
      </c>
      <c r="H74" t="s">
        <v>52</v>
      </c>
      <c r="I74" t="s">
        <v>139</v>
      </c>
      <c r="J74">
        <v>808934</v>
      </c>
      <c r="K74" t="s">
        <v>47</v>
      </c>
      <c r="L74" s="1">
        <v>42406.913194444445</v>
      </c>
      <c r="M74" s="1">
        <v>42406</v>
      </c>
      <c r="N74" s="3">
        <f>INT(BrightTV_JoinedTablesnw_2026_04_16_23_55_09[[#This Row],[Viewership.RecordDate22]])</f>
        <v>42406</v>
      </c>
      <c r="O74" s="2">
        <v>0.91319444444444442</v>
      </c>
      <c r="P74" t="s">
        <v>206</v>
      </c>
      <c r="Q74">
        <v>808934</v>
      </c>
      <c r="R74" t="s">
        <v>20</v>
      </c>
    </row>
    <row r="75" spans="1:18" x14ac:dyDescent="0.25">
      <c r="A75">
        <v>808934</v>
      </c>
      <c r="B75" t="s">
        <v>135</v>
      </c>
      <c r="C75" t="s">
        <v>202</v>
      </c>
      <c r="D75" t="s">
        <v>203</v>
      </c>
      <c r="E75" t="s">
        <v>38</v>
      </c>
      <c r="F75" t="s">
        <v>106</v>
      </c>
      <c r="G75">
        <v>36</v>
      </c>
      <c r="H75" t="s">
        <v>52</v>
      </c>
      <c r="I75" t="s">
        <v>139</v>
      </c>
      <c r="J75">
        <v>808934</v>
      </c>
      <c r="K75" t="s">
        <v>77</v>
      </c>
      <c r="L75" s="1">
        <v>42435.609722222223</v>
      </c>
      <c r="M75" s="1">
        <v>42435</v>
      </c>
      <c r="N75" s="3">
        <f>INT(BrightTV_JoinedTablesnw_2026_04_16_23_55_09[[#This Row],[Viewership.RecordDate22]])</f>
        <v>42435</v>
      </c>
      <c r="O75" s="2">
        <v>0.60972222222222228</v>
      </c>
      <c r="P75" t="s">
        <v>207</v>
      </c>
      <c r="Q75">
        <v>808934</v>
      </c>
      <c r="R75" t="s">
        <v>20</v>
      </c>
    </row>
    <row r="76" spans="1:18" x14ac:dyDescent="0.25">
      <c r="A76">
        <v>808934</v>
      </c>
      <c r="B76" t="s">
        <v>135</v>
      </c>
      <c r="C76" t="s">
        <v>202</v>
      </c>
      <c r="D76" t="s">
        <v>203</v>
      </c>
      <c r="E76" t="s">
        <v>38</v>
      </c>
      <c r="F76" t="s">
        <v>106</v>
      </c>
      <c r="G76">
        <v>36</v>
      </c>
      <c r="H76" t="s">
        <v>52</v>
      </c>
      <c r="I76" t="s">
        <v>139</v>
      </c>
      <c r="J76">
        <v>808934</v>
      </c>
      <c r="K76" t="s">
        <v>54</v>
      </c>
      <c r="L76" s="1">
        <v>42412.802777777775</v>
      </c>
      <c r="M76" s="1">
        <v>42412</v>
      </c>
      <c r="N76" s="3">
        <f>INT(BrightTV_JoinedTablesnw_2026_04_16_23_55_09[[#This Row],[Viewership.RecordDate22]])</f>
        <v>42412</v>
      </c>
      <c r="O76" s="2">
        <v>0.80277777777777781</v>
      </c>
      <c r="P76" t="s">
        <v>208</v>
      </c>
      <c r="Q76">
        <v>808934</v>
      </c>
      <c r="R76" t="s">
        <v>20</v>
      </c>
    </row>
    <row r="77" spans="1:18" x14ac:dyDescent="0.25">
      <c r="A77">
        <v>808934</v>
      </c>
      <c r="B77" t="s">
        <v>135</v>
      </c>
      <c r="C77" t="s">
        <v>202</v>
      </c>
      <c r="D77" t="s">
        <v>203</v>
      </c>
      <c r="E77" t="s">
        <v>38</v>
      </c>
      <c r="F77" t="s">
        <v>106</v>
      </c>
      <c r="G77">
        <v>36</v>
      </c>
      <c r="H77" t="s">
        <v>52</v>
      </c>
      <c r="I77" t="s">
        <v>139</v>
      </c>
      <c r="J77">
        <v>808934</v>
      </c>
      <c r="K77" t="s">
        <v>47</v>
      </c>
      <c r="L77" s="1">
        <v>42435.665277777778</v>
      </c>
      <c r="M77" s="1">
        <v>42435</v>
      </c>
      <c r="N77" s="3">
        <f>INT(BrightTV_JoinedTablesnw_2026_04_16_23_55_09[[#This Row],[Viewership.RecordDate22]])</f>
        <v>42435</v>
      </c>
      <c r="O77" s="2">
        <v>0.66527777777777775</v>
      </c>
      <c r="P77" t="s">
        <v>209</v>
      </c>
      <c r="Q77">
        <v>808934</v>
      </c>
      <c r="R77" t="s">
        <v>20</v>
      </c>
    </row>
    <row r="78" spans="1:18" x14ac:dyDescent="0.25">
      <c r="A78">
        <v>808934</v>
      </c>
      <c r="B78" t="s">
        <v>135</v>
      </c>
      <c r="C78" t="s">
        <v>202</v>
      </c>
      <c r="D78" t="s">
        <v>203</v>
      </c>
      <c r="E78" t="s">
        <v>38</v>
      </c>
      <c r="F78" t="s">
        <v>106</v>
      </c>
      <c r="G78">
        <v>36</v>
      </c>
      <c r="H78" t="s">
        <v>52</v>
      </c>
      <c r="I78" t="s">
        <v>139</v>
      </c>
      <c r="J78">
        <v>808934</v>
      </c>
      <c r="K78" t="s">
        <v>47</v>
      </c>
      <c r="L78" s="1">
        <v>42435.666666666664</v>
      </c>
      <c r="M78" s="1">
        <v>42435</v>
      </c>
      <c r="N78" s="3">
        <f>INT(BrightTV_JoinedTablesnw_2026_04_16_23_55_09[[#This Row],[Viewership.RecordDate22]])</f>
        <v>42435</v>
      </c>
      <c r="O78" s="2">
        <v>0.66666666666666663</v>
      </c>
      <c r="P78" t="s">
        <v>210</v>
      </c>
      <c r="Q78">
        <v>808934</v>
      </c>
      <c r="R78" t="s">
        <v>20</v>
      </c>
    </row>
    <row r="79" spans="1:18" x14ac:dyDescent="0.25">
      <c r="A79">
        <v>808934</v>
      </c>
      <c r="B79" t="s">
        <v>135</v>
      </c>
      <c r="C79" t="s">
        <v>202</v>
      </c>
      <c r="D79" t="s">
        <v>203</v>
      </c>
      <c r="E79" t="s">
        <v>38</v>
      </c>
      <c r="F79" t="s">
        <v>106</v>
      </c>
      <c r="G79">
        <v>36</v>
      </c>
      <c r="H79" t="s">
        <v>52</v>
      </c>
      <c r="I79" t="s">
        <v>139</v>
      </c>
      <c r="J79">
        <v>808934</v>
      </c>
      <c r="K79" t="s">
        <v>47</v>
      </c>
      <c r="L79" s="1">
        <v>42456.754861111112</v>
      </c>
      <c r="M79" s="1">
        <v>42456</v>
      </c>
      <c r="N79" s="3">
        <f>INT(BrightTV_JoinedTablesnw_2026_04_16_23_55_09[[#This Row],[Viewership.RecordDate22]])</f>
        <v>42456</v>
      </c>
      <c r="O79" s="2">
        <v>0.75486111111111109</v>
      </c>
      <c r="P79" t="s">
        <v>211</v>
      </c>
      <c r="Q79">
        <v>808934</v>
      </c>
      <c r="R79" t="s">
        <v>20</v>
      </c>
    </row>
    <row r="80" spans="1:18" x14ac:dyDescent="0.25">
      <c r="A80">
        <v>771796</v>
      </c>
      <c r="B80" t="s">
        <v>158</v>
      </c>
      <c r="C80" t="s">
        <v>50</v>
      </c>
      <c r="D80" t="s">
        <v>212</v>
      </c>
      <c r="E80" t="s">
        <v>38</v>
      </c>
      <c r="F80" t="s">
        <v>96</v>
      </c>
      <c r="G80">
        <v>35</v>
      </c>
      <c r="H80" t="s">
        <v>60</v>
      </c>
      <c r="I80" t="s">
        <v>160</v>
      </c>
      <c r="J80">
        <v>771796</v>
      </c>
      <c r="K80" t="s">
        <v>54</v>
      </c>
      <c r="L80" s="1">
        <v>42405.720138888886</v>
      </c>
      <c r="M80" s="1">
        <v>42405</v>
      </c>
      <c r="N80" s="3">
        <f>INT(BrightTV_JoinedTablesnw_2026_04_16_23_55_09[[#This Row],[Viewership.RecordDate22]])</f>
        <v>42405</v>
      </c>
      <c r="O80" s="2">
        <v>0.72013888888888888</v>
      </c>
      <c r="P80" t="s">
        <v>213</v>
      </c>
      <c r="Q80">
        <v>771796</v>
      </c>
      <c r="R80" t="s">
        <v>20</v>
      </c>
    </row>
    <row r="81" spans="1:18" x14ac:dyDescent="0.25">
      <c r="A81">
        <v>771796</v>
      </c>
      <c r="B81" t="s">
        <v>158</v>
      </c>
      <c r="C81" t="s">
        <v>50</v>
      </c>
      <c r="D81" t="s">
        <v>212</v>
      </c>
      <c r="E81" t="s">
        <v>38</v>
      </c>
      <c r="F81" t="s">
        <v>96</v>
      </c>
      <c r="G81">
        <v>35</v>
      </c>
      <c r="H81" t="s">
        <v>60</v>
      </c>
      <c r="I81" t="s">
        <v>160</v>
      </c>
      <c r="J81">
        <v>771796</v>
      </c>
      <c r="K81" t="s">
        <v>47</v>
      </c>
      <c r="L81" s="1">
        <v>42453.531944444447</v>
      </c>
      <c r="M81" s="1">
        <v>42453</v>
      </c>
      <c r="N81" s="3">
        <f>INT(BrightTV_JoinedTablesnw_2026_04_16_23_55_09[[#This Row],[Viewership.RecordDate22]])</f>
        <v>42453</v>
      </c>
      <c r="O81" s="2">
        <v>0.53194444444444444</v>
      </c>
      <c r="P81" t="s">
        <v>214</v>
      </c>
      <c r="Q81">
        <v>771796</v>
      </c>
      <c r="R81" t="s">
        <v>20</v>
      </c>
    </row>
    <row r="82" spans="1:18" x14ac:dyDescent="0.25">
      <c r="A82">
        <v>771796</v>
      </c>
      <c r="B82" t="s">
        <v>158</v>
      </c>
      <c r="C82" t="s">
        <v>50</v>
      </c>
      <c r="D82" t="s">
        <v>212</v>
      </c>
      <c r="E82" t="s">
        <v>38</v>
      </c>
      <c r="F82" t="s">
        <v>96</v>
      </c>
      <c r="G82">
        <v>35</v>
      </c>
      <c r="H82" t="s">
        <v>60</v>
      </c>
      <c r="I82" t="s">
        <v>160</v>
      </c>
      <c r="J82">
        <v>771796</v>
      </c>
      <c r="K82" t="s">
        <v>32</v>
      </c>
      <c r="L82" s="1">
        <v>42406.756944444445</v>
      </c>
      <c r="M82" s="1">
        <v>42406</v>
      </c>
      <c r="N82" s="3">
        <f>INT(BrightTV_JoinedTablesnw_2026_04_16_23_55_09[[#This Row],[Viewership.RecordDate22]])</f>
        <v>42406</v>
      </c>
      <c r="O82" s="2">
        <v>0.75694444444444442</v>
      </c>
      <c r="P82" t="s">
        <v>215</v>
      </c>
      <c r="Q82">
        <v>771796</v>
      </c>
      <c r="R82" t="s">
        <v>20</v>
      </c>
    </row>
    <row r="83" spans="1:18" x14ac:dyDescent="0.25">
      <c r="A83">
        <v>771796</v>
      </c>
      <c r="B83" t="s">
        <v>158</v>
      </c>
      <c r="C83" t="s">
        <v>50</v>
      </c>
      <c r="D83" t="s">
        <v>212</v>
      </c>
      <c r="E83" t="s">
        <v>38</v>
      </c>
      <c r="F83" t="s">
        <v>96</v>
      </c>
      <c r="G83">
        <v>35</v>
      </c>
      <c r="H83" t="s">
        <v>60</v>
      </c>
      <c r="I83" t="s">
        <v>160</v>
      </c>
      <c r="J83">
        <v>771796</v>
      </c>
      <c r="K83" t="s">
        <v>47</v>
      </c>
      <c r="L83" s="1">
        <v>42406.762499999997</v>
      </c>
      <c r="M83" s="1">
        <v>42406</v>
      </c>
      <c r="N83" s="3">
        <f>INT(BrightTV_JoinedTablesnw_2026_04_16_23_55_09[[#This Row],[Viewership.RecordDate22]])</f>
        <v>42406</v>
      </c>
      <c r="O83" s="2">
        <v>0.76249999999999996</v>
      </c>
      <c r="P83" t="s">
        <v>216</v>
      </c>
      <c r="Q83">
        <v>771796</v>
      </c>
      <c r="R83" t="s">
        <v>20</v>
      </c>
    </row>
    <row r="84" spans="1:18" x14ac:dyDescent="0.25">
      <c r="A84">
        <v>771796</v>
      </c>
      <c r="B84" t="s">
        <v>158</v>
      </c>
      <c r="C84" t="s">
        <v>50</v>
      </c>
      <c r="D84" t="s">
        <v>212</v>
      </c>
      <c r="E84" t="s">
        <v>38</v>
      </c>
      <c r="F84" t="s">
        <v>96</v>
      </c>
      <c r="G84">
        <v>35</v>
      </c>
      <c r="H84" t="s">
        <v>60</v>
      </c>
      <c r="I84" t="s">
        <v>160</v>
      </c>
      <c r="J84">
        <v>771796</v>
      </c>
      <c r="K84" t="s">
        <v>47</v>
      </c>
      <c r="L84" s="1">
        <v>42456.790277777778</v>
      </c>
      <c r="M84" s="1">
        <v>42456</v>
      </c>
      <c r="N84" s="3">
        <f>INT(BrightTV_JoinedTablesnw_2026_04_16_23_55_09[[#This Row],[Viewership.RecordDate22]])</f>
        <v>42456</v>
      </c>
      <c r="O84" s="2">
        <v>0.79027777777777775</v>
      </c>
      <c r="P84" t="s">
        <v>217</v>
      </c>
      <c r="Q84">
        <v>771796</v>
      </c>
      <c r="R84" t="s">
        <v>20</v>
      </c>
    </row>
    <row r="85" spans="1:18" x14ac:dyDescent="0.25">
      <c r="A85">
        <v>771796</v>
      </c>
      <c r="B85" t="s">
        <v>158</v>
      </c>
      <c r="C85" t="s">
        <v>50</v>
      </c>
      <c r="D85" t="s">
        <v>212</v>
      </c>
      <c r="E85" t="s">
        <v>38</v>
      </c>
      <c r="F85" t="s">
        <v>96</v>
      </c>
      <c r="G85">
        <v>35</v>
      </c>
      <c r="H85" t="s">
        <v>60</v>
      </c>
      <c r="I85" t="s">
        <v>160</v>
      </c>
      <c r="J85">
        <v>771796</v>
      </c>
      <c r="K85" t="s">
        <v>47</v>
      </c>
      <c r="L85" s="1">
        <v>42455.791666666664</v>
      </c>
      <c r="M85" s="1">
        <v>42455</v>
      </c>
      <c r="N85" s="3">
        <f>INT(BrightTV_JoinedTablesnw_2026_04_16_23_55_09[[#This Row],[Viewership.RecordDate22]])</f>
        <v>42455</v>
      </c>
      <c r="O85" s="2">
        <v>0.79166666666666663</v>
      </c>
      <c r="P85" t="s">
        <v>218</v>
      </c>
      <c r="Q85">
        <v>771796</v>
      </c>
      <c r="R85" t="s">
        <v>20</v>
      </c>
    </row>
    <row r="86" spans="1:18" x14ac:dyDescent="0.25">
      <c r="A86">
        <v>617535</v>
      </c>
      <c r="B86" t="s">
        <v>219</v>
      </c>
      <c r="C86" t="s">
        <v>22</v>
      </c>
      <c r="D86" t="s">
        <v>220</v>
      </c>
      <c r="E86" t="s">
        <v>38</v>
      </c>
      <c r="F86" t="s">
        <v>106</v>
      </c>
      <c r="G86">
        <v>40</v>
      </c>
      <c r="H86" t="s">
        <v>40</v>
      </c>
      <c r="I86" t="s">
        <v>221</v>
      </c>
      <c r="J86">
        <v>617535</v>
      </c>
      <c r="K86" t="s">
        <v>129</v>
      </c>
      <c r="L86" s="1">
        <v>42380.922222222223</v>
      </c>
      <c r="M86" s="1">
        <v>42380</v>
      </c>
      <c r="N86" s="3">
        <f>INT(BrightTV_JoinedTablesnw_2026_04_16_23_55_09[[#This Row],[Viewership.RecordDate22]])</f>
        <v>42380</v>
      </c>
      <c r="O86" s="2">
        <v>0.92222222222222228</v>
      </c>
      <c r="P86" t="s">
        <v>222</v>
      </c>
      <c r="Q86">
        <v>617535</v>
      </c>
      <c r="R86" t="s">
        <v>20</v>
      </c>
    </row>
    <row r="87" spans="1:18" x14ac:dyDescent="0.25">
      <c r="A87">
        <v>617961</v>
      </c>
      <c r="B87" t="s">
        <v>223</v>
      </c>
      <c r="C87" t="s">
        <v>224</v>
      </c>
      <c r="D87" t="s">
        <v>225</v>
      </c>
      <c r="E87" t="s">
        <v>38</v>
      </c>
      <c r="F87" t="s">
        <v>106</v>
      </c>
      <c r="G87">
        <v>30</v>
      </c>
      <c r="H87" t="s">
        <v>75</v>
      </c>
      <c r="I87" t="s">
        <v>226</v>
      </c>
      <c r="J87">
        <v>617961</v>
      </c>
      <c r="K87" t="s">
        <v>30</v>
      </c>
      <c r="L87" s="1">
        <v>42401.004166666666</v>
      </c>
      <c r="M87" s="1">
        <v>42401</v>
      </c>
      <c r="N87" s="3">
        <f>INT(BrightTV_JoinedTablesnw_2026_04_16_23_55_09[[#This Row],[Viewership.RecordDate22]])</f>
        <v>42401</v>
      </c>
      <c r="O87" s="2">
        <v>4.1666666666666666E-3</v>
      </c>
      <c r="P87" t="s">
        <v>227</v>
      </c>
      <c r="Q87">
        <v>617961</v>
      </c>
      <c r="R87" t="s">
        <v>20</v>
      </c>
    </row>
    <row r="88" spans="1:18" x14ac:dyDescent="0.25">
      <c r="A88">
        <v>771797</v>
      </c>
      <c r="B88" t="s">
        <v>228</v>
      </c>
      <c r="C88" t="s">
        <v>193</v>
      </c>
      <c r="D88" t="s">
        <v>229</v>
      </c>
      <c r="E88" t="s">
        <v>38</v>
      </c>
      <c r="F88" t="s">
        <v>16</v>
      </c>
      <c r="G88">
        <v>35</v>
      </c>
      <c r="H88" t="s">
        <v>40</v>
      </c>
      <c r="I88" t="s">
        <v>230</v>
      </c>
      <c r="J88">
        <v>771797</v>
      </c>
      <c r="K88" t="s">
        <v>54</v>
      </c>
      <c r="L88" s="1">
        <v>42403.646527777775</v>
      </c>
      <c r="M88" s="1">
        <v>42403</v>
      </c>
      <c r="N88" s="3">
        <f>INT(BrightTV_JoinedTablesnw_2026_04_16_23_55_09[[#This Row],[Viewership.RecordDate22]])</f>
        <v>42403</v>
      </c>
      <c r="O88" s="2">
        <v>0.64652777777777781</v>
      </c>
      <c r="P88" t="s">
        <v>231</v>
      </c>
      <c r="Q88">
        <v>771797</v>
      </c>
      <c r="R88" t="s">
        <v>20</v>
      </c>
    </row>
    <row r="89" spans="1:18" x14ac:dyDescent="0.25">
      <c r="A89">
        <v>67584</v>
      </c>
      <c r="B89" t="s">
        <v>232</v>
      </c>
      <c r="C89" t="s">
        <v>233</v>
      </c>
      <c r="D89" t="s">
        <v>234</v>
      </c>
      <c r="E89" t="s">
        <v>38</v>
      </c>
      <c r="F89" t="s">
        <v>25</v>
      </c>
      <c r="G89">
        <v>58</v>
      </c>
      <c r="H89" t="s">
        <v>60</v>
      </c>
      <c r="I89" t="s">
        <v>235</v>
      </c>
      <c r="J89">
        <v>67584</v>
      </c>
      <c r="K89" t="s">
        <v>47</v>
      </c>
      <c r="L89" s="1">
        <v>42387.711111111108</v>
      </c>
      <c r="M89" s="1">
        <v>42387</v>
      </c>
      <c r="N89" s="3">
        <f>INT(BrightTV_JoinedTablesnw_2026_04_16_23_55_09[[#This Row],[Viewership.RecordDate22]])</f>
        <v>42387</v>
      </c>
      <c r="O89" s="2">
        <v>0.71111111111111114</v>
      </c>
      <c r="P89" t="s">
        <v>236</v>
      </c>
      <c r="Q89">
        <v>67584</v>
      </c>
      <c r="R89" t="s">
        <v>20</v>
      </c>
    </row>
    <row r="90" spans="1:18" x14ac:dyDescent="0.25">
      <c r="A90">
        <v>808936</v>
      </c>
      <c r="B90" t="s">
        <v>237</v>
      </c>
      <c r="C90" t="s">
        <v>238</v>
      </c>
      <c r="D90" t="s">
        <v>239</v>
      </c>
      <c r="E90" t="s">
        <v>38</v>
      </c>
      <c r="F90" t="s">
        <v>25</v>
      </c>
      <c r="G90">
        <v>23</v>
      </c>
      <c r="H90" t="s">
        <v>40</v>
      </c>
      <c r="I90" t="s">
        <v>240</v>
      </c>
      <c r="J90">
        <v>808936</v>
      </c>
      <c r="K90" t="s">
        <v>47</v>
      </c>
      <c r="L90" s="1">
        <v>42453.604861111111</v>
      </c>
      <c r="M90" s="1">
        <v>42453</v>
      </c>
      <c r="N90" s="3">
        <f>INT(BrightTV_JoinedTablesnw_2026_04_16_23_55_09[[#This Row],[Viewership.RecordDate22]])</f>
        <v>42453</v>
      </c>
      <c r="O90" s="2">
        <v>0.60486111111111107</v>
      </c>
      <c r="P90" t="s">
        <v>241</v>
      </c>
      <c r="Q90">
        <v>808936</v>
      </c>
      <c r="R90" t="s">
        <v>20</v>
      </c>
    </row>
    <row r="91" spans="1:18" x14ac:dyDescent="0.25">
      <c r="A91">
        <v>808936</v>
      </c>
      <c r="B91" t="s">
        <v>237</v>
      </c>
      <c r="C91" t="s">
        <v>238</v>
      </c>
      <c r="D91" t="s">
        <v>239</v>
      </c>
      <c r="E91" t="s">
        <v>38</v>
      </c>
      <c r="F91" t="s">
        <v>25</v>
      </c>
      <c r="G91">
        <v>23</v>
      </c>
      <c r="H91" t="s">
        <v>40</v>
      </c>
      <c r="I91" t="s">
        <v>240</v>
      </c>
      <c r="J91">
        <v>808936</v>
      </c>
      <c r="K91" t="s">
        <v>47</v>
      </c>
      <c r="L91" s="1">
        <v>42418.517361111109</v>
      </c>
      <c r="M91" s="1">
        <v>42418</v>
      </c>
      <c r="N91" s="3">
        <f>INT(BrightTV_JoinedTablesnw_2026_04_16_23_55_09[[#This Row],[Viewership.RecordDate22]])</f>
        <v>42418</v>
      </c>
      <c r="O91" s="2">
        <v>0.51736111111111116</v>
      </c>
      <c r="P91" t="s">
        <v>64</v>
      </c>
      <c r="Q91">
        <v>808936</v>
      </c>
      <c r="R91" t="s">
        <v>20</v>
      </c>
    </row>
    <row r="92" spans="1:18" x14ac:dyDescent="0.25">
      <c r="A92">
        <v>590480</v>
      </c>
      <c r="B92" t="s">
        <v>242</v>
      </c>
      <c r="C92" t="s">
        <v>243</v>
      </c>
      <c r="D92" t="s">
        <v>244</v>
      </c>
      <c r="E92" t="s">
        <v>24</v>
      </c>
      <c r="F92" t="s">
        <v>106</v>
      </c>
      <c r="G92">
        <v>10</v>
      </c>
      <c r="H92" t="s">
        <v>60</v>
      </c>
      <c r="I92" t="s">
        <v>245</v>
      </c>
      <c r="J92">
        <v>590480</v>
      </c>
      <c r="K92" t="s">
        <v>129</v>
      </c>
      <c r="L92" s="1">
        <v>42373.757638888892</v>
      </c>
      <c r="M92" s="1">
        <v>42373</v>
      </c>
      <c r="N92" s="3">
        <f>INT(BrightTV_JoinedTablesnw_2026_04_16_23_55_09[[#This Row],[Viewership.RecordDate22]])</f>
        <v>42373</v>
      </c>
      <c r="O92" s="2">
        <v>0.75763888888888886</v>
      </c>
      <c r="P92" t="s">
        <v>246</v>
      </c>
      <c r="Q92">
        <v>590480</v>
      </c>
      <c r="R92" t="s">
        <v>20</v>
      </c>
    </row>
    <row r="93" spans="1:18" x14ac:dyDescent="0.25">
      <c r="A93">
        <v>793592</v>
      </c>
      <c r="B93" t="s">
        <v>16</v>
      </c>
      <c r="C93" t="s">
        <v>16</v>
      </c>
      <c r="D93" t="s">
        <v>247</v>
      </c>
      <c r="E93" t="s">
        <v>16</v>
      </c>
      <c r="F93" t="s">
        <v>16</v>
      </c>
      <c r="G93">
        <v>0</v>
      </c>
      <c r="H93" t="s">
        <v>16</v>
      </c>
      <c r="I93" t="s">
        <v>16</v>
      </c>
      <c r="J93">
        <v>793592</v>
      </c>
      <c r="K93" t="s">
        <v>32</v>
      </c>
      <c r="L93" s="1">
        <v>42450.606944444444</v>
      </c>
      <c r="M93" s="1">
        <v>42450</v>
      </c>
      <c r="N93" s="3">
        <f>INT(BrightTV_JoinedTablesnw_2026_04_16_23_55_09[[#This Row],[Viewership.RecordDate22]])</f>
        <v>42450</v>
      </c>
      <c r="O93" s="2">
        <v>0.6069444444444444</v>
      </c>
      <c r="P93" t="s">
        <v>248</v>
      </c>
      <c r="Q93">
        <v>793592</v>
      </c>
      <c r="R93" t="s">
        <v>20</v>
      </c>
    </row>
    <row r="94" spans="1:18" x14ac:dyDescent="0.25">
      <c r="A94">
        <v>586459</v>
      </c>
      <c r="B94" t="s">
        <v>249</v>
      </c>
      <c r="C94" t="s">
        <v>250</v>
      </c>
      <c r="D94" t="s">
        <v>251</v>
      </c>
      <c r="E94" t="s">
        <v>38</v>
      </c>
      <c r="F94" t="s">
        <v>39</v>
      </c>
      <c r="G94">
        <v>22</v>
      </c>
      <c r="H94" t="s">
        <v>252</v>
      </c>
      <c r="I94" t="s">
        <v>253</v>
      </c>
      <c r="J94">
        <v>586459</v>
      </c>
      <c r="K94" t="s">
        <v>84</v>
      </c>
      <c r="L94" s="1">
        <v>42371.492361111108</v>
      </c>
      <c r="M94" s="1">
        <v>42371</v>
      </c>
      <c r="N94" s="3">
        <f>INT(BrightTV_JoinedTablesnw_2026_04_16_23_55_09[[#This Row],[Viewership.RecordDate22]])</f>
        <v>42371</v>
      </c>
      <c r="O94" s="2">
        <v>0.49236111111111114</v>
      </c>
      <c r="P94" t="s">
        <v>254</v>
      </c>
      <c r="Q94">
        <v>586459</v>
      </c>
      <c r="R94" t="s">
        <v>20</v>
      </c>
    </row>
    <row r="95" spans="1:18" x14ac:dyDescent="0.25">
      <c r="A95">
        <v>791320</v>
      </c>
      <c r="B95" t="s">
        <v>255</v>
      </c>
      <c r="C95" t="s">
        <v>94</v>
      </c>
      <c r="D95" t="s">
        <v>256</v>
      </c>
      <c r="E95" t="s">
        <v>24</v>
      </c>
      <c r="F95" t="s">
        <v>106</v>
      </c>
      <c r="G95">
        <v>37</v>
      </c>
      <c r="H95" t="s">
        <v>52</v>
      </c>
      <c r="I95" t="s">
        <v>257</v>
      </c>
      <c r="J95">
        <v>791320</v>
      </c>
      <c r="K95" t="s">
        <v>18</v>
      </c>
      <c r="L95" s="1">
        <v>42434.622916666667</v>
      </c>
      <c r="M95" s="1">
        <v>42434</v>
      </c>
      <c r="N95" s="3">
        <f>INT(BrightTV_JoinedTablesnw_2026_04_16_23_55_09[[#This Row],[Viewership.RecordDate22]])</f>
        <v>42434</v>
      </c>
      <c r="O95" s="2">
        <v>0.62291666666666667</v>
      </c>
      <c r="P95" t="s">
        <v>161</v>
      </c>
      <c r="Q95">
        <v>791320</v>
      </c>
      <c r="R95" t="s">
        <v>20</v>
      </c>
    </row>
    <row r="96" spans="1:18" x14ac:dyDescent="0.25">
      <c r="A96">
        <v>791320</v>
      </c>
      <c r="B96" t="s">
        <v>255</v>
      </c>
      <c r="C96" t="s">
        <v>94</v>
      </c>
      <c r="D96" t="s">
        <v>256</v>
      </c>
      <c r="E96" t="s">
        <v>24</v>
      </c>
      <c r="F96" t="s">
        <v>106</v>
      </c>
      <c r="G96">
        <v>37</v>
      </c>
      <c r="H96" t="s">
        <v>52</v>
      </c>
      <c r="I96" t="s">
        <v>257</v>
      </c>
      <c r="J96">
        <v>791320</v>
      </c>
      <c r="K96" t="s">
        <v>18</v>
      </c>
      <c r="L96" s="1">
        <v>42435.481249999997</v>
      </c>
      <c r="M96" s="1">
        <v>42435</v>
      </c>
      <c r="N96" s="3">
        <f>INT(BrightTV_JoinedTablesnw_2026_04_16_23_55_09[[#This Row],[Viewership.RecordDate22]])</f>
        <v>42435</v>
      </c>
      <c r="O96" s="2">
        <v>0.48125000000000001</v>
      </c>
      <c r="P96" t="s">
        <v>258</v>
      </c>
      <c r="Q96">
        <v>791320</v>
      </c>
      <c r="R96" t="s">
        <v>20</v>
      </c>
    </row>
    <row r="97" spans="1:18" x14ac:dyDescent="0.25">
      <c r="A97">
        <v>791320</v>
      </c>
      <c r="B97" t="s">
        <v>255</v>
      </c>
      <c r="C97" t="s">
        <v>94</v>
      </c>
      <c r="D97" t="s">
        <v>256</v>
      </c>
      <c r="E97" t="s">
        <v>24</v>
      </c>
      <c r="F97" t="s">
        <v>106</v>
      </c>
      <c r="G97">
        <v>37</v>
      </c>
      <c r="H97" t="s">
        <v>52</v>
      </c>
      <c r="I97" t="s">
        <v>257</v>
      </c>
      <c r="J97">
        <v>791320</v>
      </c>
      <c r="K97" t="s">
        <v>18</v>
      </c>
      <c r="L97" s="1">
        <v>42435.438888888886</v>
      </c>
      <c r="M97" s="1">
        <v>42435</v>
      </c>
      <c r="N97" s="3">
        <f>INT(BrightTV_JoinedTablesnw_2026_04_16_23_55_09[[#This Row],[Viewership.RecordDate22]])</f>
        <v>42435</v>
      </c>
      <c r="O97" s="2">
        <v>0.43888888888888888</v>
      </c>
      <c r="P97" t="s">
        <v>259</v>
      </c>
      <c r="Q97">
        <v>791320</v>
      </c>
      <c r="R97" t="s">
        <v>20</v>
      </c>
    </row>
    <row r="98" spans="1:18" x14ac:dyDescent="0.25">
      <c r="A98">
        <v>771802</v>
      </c>
      <c r="B98" t="s">
        <v>237</v>
      </c>
      <c r="C98" t="s">
        <v>260</v>
      </c>
      <c r="D98" t="s">
        <v>261</v>
      </c>
      <c r="E98" t="s">
        <v>38</v>
      </c>
      <c r="F98" t="s">
        <v>96</v>
      </c>
      <c r="G98">
        <v>43</v>
      </c>
      <c r="H98" t="s">
        <v>60</v>
      </c>
      <c r="I98" t="s">
        <v>240</v>
      </c>
      <c r="J98">
        <v>771802</v>
      </c>
      <c r="K98" t="s">
        <v>30</v>
      </c>
      <c r="L98" s="1">
        <v>42371.612500000003</v>
      </c>
      <c r="M98" s="1">
        <v>42371</v>
      </c>
      <c r="N98" s="3">
        <f>INT(BrightTV_JoinedTablesnw_2026_04_16_23_55_09[[#This Row],[Viewership.RecordDate22]])</f>
        <v>42371</v>
      </c>
      <c r="O98" s="2">
        <v>0.61250000000000004</v>
      </c>
      <c r="P98" t="s">
        <v>262</v>
      </c>
      <c r="Q98">
        <v>771802</v>
      </c>
      <c r="R98" t="s">
        <v>20</v>
      </c>
    </row>
    <row r="99" spans="1:18" x14ac:dyDescent="0.25">
      <c r="A99">
        <v>771802</v>
      </c>
      <c r="B99" t="s">
        <v>237</v>
      </c>
      <c r="C99" t="s">
        <v>260</v>
      </c>
      <c r="D99" t="s">
        <v>261</v>
      </c>
      <c r="E99" t="s">
        <v>38</v>
      </c>
      <c r="F99" t="s">
        <v>96</v>
      </c>
      <c r="G99">
        <v>43</v>
      </c>
      <c r="H99" t="s">
        <v>60</v>
      </c>
      <c r="I99" t="s">
        <v>240</v>
      </c>
      <c r="J99">
        <v>771802</v>
      </c>
      <c r="K99" t="s">
        <v>47</v>
      </c>
      <c r="L99" s="1">
        <v>42399.674305555556</v>
      </c>
      <c r="M99" s="1">
        <v>42399</v>
      </c>
      <c r="N99" s="3">
        <f>INT(BrightTV_JoinedTablesnw_2026_04_16_23_55_09[[#This Row],[Viewership.RecordDate22]])</f>
        <v>42399</v>
      </c>
      <c r="O99" s="2">
        <v>0.6743055555555556</v>
      </c>
      <c r="P99" t="s">
        <v>263</v>
      </c>
      <c r="Q99">
        <v>771802</v>
      </c>
      <c r="R99" t="s">
        <v>20</v>
      </c>
    </row>
    <row r="100" spans="1:18" x14ac:dyDescent="0.25">
      <c r="A100">
        <v>771802</v>
      </c>
      <c r="B100" t="s">
        <v>237</v>
      </c>
      <c r="C100" t="s">
        <v>260</v>
      </c>
      <c r="D100" t="s">
        <v>261</v>
      </c>
      <c r="E100" t="s">
        <v>38</v>
      </c>
      <c r="F100" t="s">
        <v>96</v>
      </c>
      <c r="G100">
        <v>43</v>
      </c>
      <c r="H100" t="s">
        <v>60</v>
      </c>
      <c r="I100" t="s">
        <v>240</v>
      </c>
      <c r="J100">
        <v>771802</v>
      </c>
      <c r="K100" t="s">
        <v>169</v>
      </c>
      <c r="L100" s="1">
        <v>42370.559027777781</v>
      </c>
      <c r="M100" s="1">
        <v>42370</v>
      </c>
      <c r="N100" s="3">
        <f>INT(BrightTV_JoinedTablesnw_2026_04_16_23_55_09[[#This Row],[Viewership.RecordDate22]])</f>
        <v>42370</v>
      </c>
      <c r="O100" s="2">
        <v>0.55902777777777779</v>
      </c>
      <c r="P100" t="s">
        <v>264</v>
      </c>
      <c r="Q100">
        <v>771802</v>
      </c>
      <c r="R100" t="s">
        <v>20</v>
      </c>
    </row>
    <row r="101" spans="1:18" x14ac:dyDescent="0.25">
      <c r="A101">
        <v>771802</v>
      </c>
      <c r="B101" t="s">
        <v>237</v>
      </c>
      <c r="C101" t="s">
        <v>260</v>
      </c>
      <c r="D101" t="s">
        <v>261</v>
      </c>
      <c r="E101" t="s">
        <v>38</v>
      </c>
      <c r="F101" t="s">
        <v>96</v>
      </c>
      <c r="G101">
        <v>43</v>
      </c>
      <c r="H101" t="s">
        <v>60</v>
      </c>
      <c r="I101" t="s">
        <v>240</v>
      </c>
      <c r="J101">
        <v>771802</v>
      </c>
      <c r="K101" t="s">
        <v>47</v>
      </c>
      <c r="L101" s="1">
        <v>42377.701388888891</v>
      </c>
      <c r="M101" s="1">
        <v>42377</v>
      </c>
      <c r="N101" s="3">
        <f>INT(BrightTV_JoinedTablesnw_2026_04_16_23_55_09[[#This Row],[Viewership.RecordDate22]])</f>
        <v>42377</v>
      </c>
      <c r="O101" s="2">
        <v>0.70138888888888884</v>
      </c>
      <c r="P101" t="s">
        <v>265</v>
      </c>
      <c r="Q101">
        <v>771802</v>
      </c>
      <c r="R101" t="s">
        <v>20</v>
      </c>
    </row>
    <row r="102" spans="1:18" x14ac:dyDescent="0.25">
      <c r="A102">
        <v>771802</v>
      </c>
      <c r="B102" t="s">
        <v>237</v>
      </c>
      <c r="C102" t="s">
        <v>260</v>
      </c>
      <c r="D102" t="s">
        <v>261</v>
      </c>
      <c r="E102" t="s">
        <v>38</v>
      </c>
      <c r="F102" t="s">
        <v>96</v>
      </c>
      <c r="G102">
        <v>43</v>
      </c>
      <c r="H102" t="s">
        <v>60</v>
      </c>
      <c r="I102" t="s">
        <v>240</v>
      </c>
      <c r="J102">
        <v>771802</v>
      </c>
      <c r="K102" t="s">
        <v>169</v>
      </c>
      <c r="L102" s="1">
        <v>42370.192361111112</v>
      </c>
      <c r="M102" s="1">
        <v>42370</v>
      </c>
      <c r="N102" s="3">
        <f>INT(BrightTV_JoinedTablesnw_2026_04_16_23_55_09[[#This Row],[Viewership.RecordDate22]])</f>
        <v>42370</v>
      </c>
      <c r="O102" s="2">
        <v>0.19236111111111112</v>
      </c>
      <c r="P102" t="s">
        <v>100</v>
      </c>
      <c r="Q102">
        <v>771802</v>
      </c>
      <c r="R102" t="s">
        <v>20</v>
      </c>
    </row>
    <row r="103" spans="1:18" x14ac:dyDescent="0.25">
      <c r="A103">
        <v>771802</v>
      </c>
      <c r="B103" t="s">
        <v>237</v>
      </c>
      <c r="C103" t="s">
        <v>260</v>
      </c>
      <c r="D103" t="s">
        <v>261</v>
      </c>
      <c r="E103" t="s">
        <v>38</v>
      </c>
      <c r="F103" t="s">
        <v>96</v>
      </c>
      <c r="G103">
        <v>43</v>
      </c>
      <c r="H103" t="s">
        <v>60</v>
      </c>
      <c r="I103" t="s">
        <v>240</v>
      </c>
      <c r="J103">
        <v>771802</v>
      </c>
      <c r="K103" t="s">
        <v>47</v>
      </c>
      <c r="L103" s="1">
        <v>42412.785416666666</v>
      </c>
      <c r="M103" s="1">
        <v>42412</v>
      </c>
      <c r="N103" s="3">
        <f>INT(BrightTV_JoinedTablesnw_2026_04_16_23_55_09[[#This Row],[Viewership.RecordDate22]])</f>
        <v>42412</v>
      </c>
      <c r="O103" s="2">
        <v>0.78541666666666665</v>
      </c>
      <c r="P103" t="s">
        <v>266</v>
      </c>
      <c r="Q103">
        <v>771802</v>
      </c>
      <c r="R103" t="s">
        <v>20</v>
      </c>
    </row>
    <row r="104" spans="1:18" x14ac:dyDescent="0.25">
      <c r="A104">
        <v>808941</v>
      </c>
      <c r="B104" t="s">
        <v>267</v>
      </c>
      <c r="C104" t="s">
        <v>260</v>
      </c>
      <c r="D104" t="s">
        <v>268</v>
      </c>
      <c r="E104" t="s">
        <v>38</v>
      </c>
      <c r="F104" t="s">
        <v>96</v>
      </c>
      <c r="G104">
        <v>36</v>
      </c>
      <c r="H104" t="s">
        <v>60</v>
      </c>
      <c r="I104" t="s">
        <v>269</v>
      </c>
      <c r="J104">
        <v>808941</v>
      </c>
      <c r="K104" t="s">
        <v>54</v>
      </c>
      <c r="L104" s="1">
        <v>42430.104166666664</v>
      </c>
      <c r="M104" s="1">
        <v>42430</v>
      </c>
      <c r="N104" s="3">
        <f>INT(BrightTV_JoinedTablesnw_2026_04_16_23_55_09[[#This Row],[Viewership.RecordDate22]])</f>
        <v>42430</v>
      </c>
      <c r="O104" s="2">
        <v>0.10416666666666667</v>
      </c>
      <c r="P104" t="s">
        <v>231</v>
      </c>
      <c r="Q104">
        <v>808941</v>
      </c>
      <c r="R104" t="s">
        <v>20</v>
      </c>
    </row>
    <row r="105" spans="1:18" x14ac:dyDescent="0.25">
      <c r="A105">
        <v>600713</v>
      </c>
      <c r="B105" t="s">
        <v>270</v>
      </c>
      <c r="C105" t="s">
        <v>271</v>
      </c>
      <c r="D105" t="s">
        <v>272</v>
      </c>
      <c r="E105" t="s">
        <v>38</v>
      </c>
      <c r="F105" t="s">
        <v>39</v>
      </c>
      <c r="G105">
        <v>31</v>
      </c>
      <c r="H105" t="s">
        <v>52</v>
      </c>
      <c r="I105" t="s">
        <v>273</v>
      </c>
      <c r="J105">
        <v>600713</v>
      </c>
      <c r="K105" t="s">
        <v>32</v>
      </c>
      <c r="L105" s="1">
        <v>42370.688888888886</v>
      </c>
      <c r="M105" s="1">
        <v>42370</v>
      </c>
      <c r="N105" s="3">
        <f>INT(BrightTV_JoinedTablesnw_2026_04_16_23_55_09[[#This Row],[Viewership.RecordDate22]])</f>
        <v>42370</v>
      </c>
      <c r="O105" s="2">
        <v>0.68888888888888888</v>
      </c>
      <c r="P105" t="s">
        <v>274</v>
      </c>
      <c r="Q105">
        <v>600713</v>
      </c>
      <c r="R105" t="s">
        <v>20</v>
      </c>
    </row>
    <row r="106" spans="1:18" x14ac:dyDescent="0.25">
      <c r="A106">
        <v>600713</v>
      </c>
      <c r="B106" t="s">
        <v>270</v>
      </c>
      <c r="C106" t="s">
        <v>271</v>
      </c>
      <c r="D106" t="s">
        <v>272</v>
      </c>
      <c r="E106" t="s">
        <v>38</v>
      </c>
      <c r="F106" t="s">
        <v>39</v>
      </c>
      <c r="G106">
        <v>31</v>
      </c>
      <c r="H106" t="s">
        <v>52</v>
      </c>
      <c r="I106" t="s">
        <v>273</v>
      </c>
      <c r="J106">
        <v>600713</v>
      </c>
      <c r="K106" t="s">
        <v>32</v>
      </c>
      <c r="L106" s="1">
        <v>42382.685416666667</v>
      </c>
      <c r="M106" s="1">
        <v>42382</v>
      </c>
      <c r="N106" s="3">
        <f>INT(BrightTV_JoinedTablesnw_2026_04_16_23_55_09[[#This Row],[Viewership.RecordDate22]])</f>
        <v>42382</v>
      </c>
      <c r="O106" s="2">
        <v>0.68541666666666667</v>
      </c>
      <c r="P106" t="s">
        <v>275</v>
      </c>
      <c r="Q106">
        <v>600713</v>
      </c>
      <c r="R106" t="s">
        <v>20</v>
      </c>
    </row>
    <row r="107" spans="1:18" x14ac:dyDescent="0.25">
      <c r="A107">
        <v>808945</v>
      </c>
      <c r="B107" t="s">
        <v>35</v>
      </c>
      <c r="C107" t="s">
        <v>276</v>
      </c>
      <c r="D107" t="s">
        <v>277</v>
      </c>
      <c r="E107" t="s">
        <v>38</v>
      </c>
      <c r="F107" t="s">
        <v>16</v>
      </c>
      <c r="G107">
        <v>43</v>
      </c>
      <c r="H107" t="s">
        <v>60</v>
      </c>
      <c r="I107" t="s">
        <v>41</v>
      </c>
      <c r="J107">
        <v>808945</v>
      </c>
      <c r="K107" t="s">
        <v>69</v>
      </c>
      <c r="L107" s="1">
        <v>42430.888194444444</v>
      </c>
      <c r="M107" s="1">
        <v>42430</v>
      </c>
      <c r="N107" s="3">
        <f>INT(BrightTV_JoinedTablesnw_2026_04_16_23_55_09[[#This Row],[Viewership.RecordDate22]])</f>
        <v>42430</v>
      </c>
      <c r="O107" s="2">
        <v>0.8881944444444444</v>
      </c>
      <c r="P107" t="s">
        <v>278</v>
      </c>
      <c r="Q107">
        <v>808945</v>
      </c>
      <c r="R107" t="s">
        <v>20</v>
      </c>
    </row>
    <row r="108" spans="1:18" x14ac:dyDescent="0.25">
      <c r="A108">
        <v>301011</v>
      </c>
      <c r="B108" t="s">
        <v>223</v>
      </c>
      <c r="C108" t="s">
        <v>233</v>
      </c>
      <c r="D108" t="s">
        <v>279</v>
      </c>
      <c r="E108" t="s">
        <v>38</v>
      </c>
      <c r="F108" t="s">
        <v>39</v>
      </c>
      <c r="G108">
        <v>47</v>
      </c>
      <c r="H108" t="s">
        <v>280</v>
      </c>
      <c r="I108" t="s">
        <v>226</v>
      </c>
      <c r="J108">
        <v>301011</v>
      </c>
      <c r="K108" t="s">
        <v>54</v>
      </c>
      <c r="L108" s="1">
        <v>42377.793749999997</v>
      </c>
      <c r="M108" s="1">
        <v>42377</v>
      </c>
      <c r="N108" s="3">
        <f>INT(BrightTV_JoinedTablesnw_2026_04_16_23_55_09[[#This Row],[Viewership.RecordDate22]])</f>
        <v>42377</v>
      </c>
      <c r="O108" s="2">
        <v>0.79374999999999996</v>
      </c>
      <c r="P108" t="s">
        <v>281</v>
      </c>
      <c r="Q108">
        <v>301011</v>
      </c>
      <c r="R108" t="s">
        <v>20</v>
      </c>
    </row>
    <row r="109" spans="1:18" x14ac:dyDescent="0.25">
      <c r="A109">
        <v>808948</v>
      </c>
      <c r="B109" t="s">
        <v>282</v>
      </c>
      <c r="C109" t="s">
        <v>283</v>
      </c>
      <c r="D109" t="s">
        <v>284</v>
      </c>
      <c r="E109" t="s">
        <v>24</v>
      </c>
      <c r="F109" t="s">
        <v>96</v>
      </c>
      <c r="G109">
        <v>43</v>
      </c>
      <c r="H109" t="s">
        <v>60</v>
      </c>
      <c r="I109" t="s">
        <v>285</v>
      </c>
      <c r="J109">
        <v>808948</v>
      </c>
      <c r="K109" t="s">
        <v>54</v>
      </c>
      <c r="L109" s="1">
        <v>42411.294444444444</v>
      </c>
      <c r="M109" s="1">
        <v>42411</v>
      </c>
      <c r="N109" s="3">
        <f>INT(BrightTV_JoinedTablesnw_2026_04_16_23_55_09[[#This Row],[Viewership.RecordDate22]])</f>
        <v>42411</v>
      </c>
      <c r="O109" s="2">
        <v>0.29444444444444445</v>
      </c>
      <c r="P109" t="s">
        <v>286</v>
      </c>
      <c r="Q109">
        <v>808948</v>
      </c>
      <c r="R109" t="s">
        <v>20</v>
      </c>
    </row>
    <row r="110" spans="1:18" x14ac:dyDescent="0.25">
      <c r="A110">
        <v>808948</v>
      </c>
      <c r="B110" t="s">
        <v>282</v>
      </c>
      <c r="C110" t="s">
        <v>283</v>
      </c>
      <c r="D110" t="s">
        <v>284</v>
      </c>
      <c r="E110" t="s">
        <v>24</v>
      </c>
      <c r="F110" t="s">
        <v>96</v>
      </c>
      <c r="G110">
        <v>43</v>
      </c>
      <c r="H110" t="s">
        <v>60</v>
      </c>
      <c r="I110" t="s">
        <v>285</v>
      </c>
      <c r="J110">
        <v>808948</v>
      </c>
      <c r="K110" t="s">
        <v>32</v>
      </c>
      <c r="L110" s="1">
        <v>42418.226388888892</v>
      </c>
      <c r="M110" s="1">
        <v>42418</v>
      </c>
      <c r="N110" s="3">
        <f>INT(BrightTV_JoinedTablesnw_2026_04_16_23_55_09[[#This Row],[Viewership.RecordDate22]])</f>
        <v>42418</v>
      </c>
      <c r="O110" s="2">
        <v>0.22638888888888889</v>
      </c>
      <c r="P110" t="s">
        <v>287</v>
      </c>
      <c r="Q110">
        <v>808948</v>
      </c>
      <c r="R110" t="s">
        <v>20</v>
      </c>
    </row>
    <row r="111" spans="1:18" x14ac:dyDescent="0.25">
      <c r="A111">
        <v>808948</v>
      </c>
      <c r="B111" t="s">
        <v>282</v>
      </c>
      <c r="C111" t="s">
        <v>283</v>
      </c>
      <c r="D111" t="s">
        <v>284</v>
      </c>
      <c r="E111" t="s">
        <v>24</v>
      </c>
      <c r="F111" t="s">
        <v>96</v>
      </c>
      <c r="G111">
        <v>43</v>
      </c>
      <c r="H111" t="s">
        <v>60</v>
      </c>
      <c r="I111" t="s">
        <v>285</v>
      </c>
      <c r="J111">
        <v>808948</v>
      </c>
      <c r="K111" t="s">
        <v>32</v>
      </c>
      <c r="L111" s="1">
        <v>42418.656944444447</v>
      </c>
      <c r="M111" s="1">
        <v>42418</v>
      </c>
      <c r="N111" s="3">
        <f>INT(BrightTV_JoinedTablesnw_2026_04_16_23_55_09[[#This Row],[Viewership.RecordDate22]])</f>
        <v>42418</v>
      </c>
      <c r="O111" s="2">
        <v>0.65694444444444444</v>
      </c>
      <c r="P111" t="s">
        <v>130</v>
      </c>
      <c r="Q111">
        <v>808948</v>
      </c>
      <c r="R111" t="s">
        <v>20</v>
      </c>
    </row>
    <row r="112" spans="1:18" x14ac:dyDescent="0.25">
      <c r="A112">
        <v>808948</v>
      </c>
      <c r="B112" t="s">
        <v>282</v>
      </c>
      <c r="C112" t="s">
        <v>283</v>
      </c>
      <c r="D112" t="s">
        <v>284</v>
      </c>
      <c r="E112" t="s">
        <v>24</v>
      </c>
      <c r="F112" t="s">
        <v>96</v>
      </c>
      <c r="G112">
        <v>43</v>
      </c>
      <c r="H112" t="s">
        <v>60</v>
      </c>
      <c r="I112" t="s">
        <v>285</v>
      </c>
      <c r="J112">
        <v>808948</v>
      </c>
      <c r="K112" t="s">
        <v>32</v>
      </c>
      <c r="L112" s="1">
        <v>42424.48333333333</v>
      </c>
      <c r="M112" s="1">
        <v>42424</v>
      </c>
      <c r="N112" s="3">
        <f>INT(BrightTV_JoinedTablesnw_2026_04_16_23_55_09[[#This Row],[Viewership.RecordDate22]])</f>
        <v>42424</v>
      </c>
      <c r="O112" s="2">
        <v>0.48333333333333334</v>
      </c>
      <c r="P112" t="s">
        <v>288</v>
      </c>
      <c r="Q112">
        <v>808948</v>
      </c>
      <c r="R112" t="s">
        <v>20</v>
      </c>
    </row>
    <row r="113" spans="1:18" x14ac:dyDescent="0.25">
      <c r="A113">
        <v>808948</v>
      </c>
      <c r="B113" t="s">
        <v>282</v>
      </c>
      <c r="C113" t="s">
        <v>283</v>
      </c>
      <c r="D113" t="s">
        <v>284</v>
      </c>
      <c r="E113" t="s">
        <v>24</v>
      </c>
      <c r="F113" t="s">
        <v>96</v>
      </c>
      <c r="G113">
        <v>43</v>
      </c>
      <c r="H113" t="s">
        <v>60</v>
      </c>
      <c r="I113" t="s">
        <v>285</v>
      </c>
      <c r="J113">
        <v>808948</v>
      </c>
      <c r="K113" t="s">
        <v>77</v>
      </c>
      <c r="L113" s="1">
        <v>42447.570833333331</v>
      </c>
      <c r="M113" s="1">
        <v>42447</v>
      </c>
      <c r="N113" s="3">
        <f>INT(BrightTV_JoinedTablesnw_2026_04_16_23_55_09[[#This Row],[Viewership.RecordDate22]])</f>
        <v>42447</v>
      </c>
      <c r="O113" s="2">
        <v>0.5708333333333333</v>
      </c>
      <c r="P113" t="s">
        <v>289</v>
      </c>
      <c r="Q113">
        <v>808948</v>
      </c>
      <c r="R113" t="s">
        <v>20</v>
      </c>
    </row>
    <row r="114" spans="1:18" x14ac:dyDescent="0.25">
      <c r="A114">
        <v>808948</v>
      </c>
      <c r="B114" t="s">
        <v>282</v>
      </c>
      <c r="C114" t="s">
        <v>283</v>
      </c>
      <c r="D114" t="s">
        <v>284</v>
      </c>
      <c r="E114" t="s">
        <v>24</v>
      </c>
      <c r="F114" t="s">
        <v>96</v>
      </c>
      <c r="G114">
        <v>43</v>
      </c>
      <c r="H114" t="s">
        <v>60</v>
      </c>
      <c r="I114" t="s">
        <v>285</v>
      </c>
      <c r="J114">
        <v>808948</v>
      </c>
      <c r="K114" t="s">
        <v>32</v>
      </c>
      <c r="L114" s="1">
        <v>42447.579861111109</v>
      </c>
      <c r="M114" s="1">
        <v>42447</v>
      </c>
      <c r="N114" s="3">
        <f>INT(BrightTV_JoinedTablesnw_2026_04_16_23_55_09[[#This Row],[Viewership.RecordDate22]])</f>
        <v>42447</v>
      </c>
      <c r="O114" s="2">
        <v>0.57986111111111116</v>
      </c>
      <c r="P114" t="s">
        <v>290</v>
      </c>
      <c r="Q114">
        <v>808948</v>
      </c>
      <c r="R114" t="s">
        <v>20</v>
      </c>
    </row>
    <row r="115" spans="1:18" x14ac:dyDescent="0.25">
      <c r="A115">
        <v>808948</v>
      </c>
      <c r="B115" t="s">
        <v>282</v>
      </c>
      <c r="C115" t="s">
        <v>283</v>
      </c>
      <c r="D115" t="s">
        <v>284</v>
      </c>
      <c r="E115" t="s">
        <v>24</v>
      </c>
      <c r="F115" t="s">
        <v>96</v>
      </c>
      <c r="G115">
        <v>43</v>
      </c>
      <c r="H115" t="s">
        <v>60</v>
      </c>
      <c r="I115" t="s">
        <v>285</v>
      </c>
      <c r="J115">
        <v>808948</v>
      </c>
      <c r="K115" t="s">
        <v>32</v>
      </c>
      <c r="L115" s="1">
        <v>42410.906944444447</v>
      </c>
      <c r="M115" s="1">
        <v>42410</v>
      </c>
      <c r="N115" s="3">
        <f>INT(BrightTV_JoinedTablesnw_2026_04_16_23_55_09[[#This Row],[Viewership.RecordDate22]])</f>
        <v>42410</v>
      </c>
      <c r="O115" s="2">
        <v>0.90694444444444444</v>
      </c>
      <c r="P115" t="s">
        <v>275</v>
      </c>
      <c r="Q115">
        <v>808948</v>
      </c>
      <c r="R115" t="s">
        <v>20</v>
      </c>
    </row>
    <row r="116" spans="1:18" x14ac:dyDescent="0.25">
      <c r="A116">
        <v>808948</v>
      </c>
      <c r="B116" t="s">
        <v>282</v>
      </c>
      <c r="C116" t="s">
        <v>283</v>
      </c>
      <c r="D116" t="s">
        <v>284</v>
      </c>
      <c r="E116" t="s">
        <v>24</v>
      </c>
      <c r="F116" t="s">
        <v>96</v>
      </c>
      <c r="G116">
        <v>43</v>
      </c>
      <c r="H116" t="s">
        <v>60</v>
      </c>
      <c r="I116" t="s">
        <v>285</v>
      </c>
      <c r="J116">
        <v>808948</v>
      </c>
      <c r="K116" t="s">
        <v>32</v>
      </c>
      <c r="L116" s="1">
        <v>42449.742361111108</v>
      </c>
      <c r="M116" s="1">
        <v>42449</v>
      </c>
      <c r="N116" s="3">
        <f>INT(BrightTV_JoinedTablesnw_2026_04_16_23_55_09[[#This Row],[Viewership.RecordDate22]])</f>
        <v>42449</v>
      </c>
      <c r="O116" s="2">
        <v>0.74236111111111114</v>
      </c>
      <c r="P116" t="s">
        <v>216</v>
      </c>
      <c r="Q116">
        <v>808948</v>
      </c>
      <c r="R116" t="s">
        <v>20</v>
      </c>
    </row>
    <row r="117" spans="1:18" x14ac:dyDescent="0.25">
      <c r="A117">
        <v>808948</v>
      </c>
      <c r="B117" t="s">
        <v>282</v>
      </c>
      <c r="C117" t="s">
        <v>283</v>
      </c>
      <c r="D117" t="s">
        <v>284</v>
      </c>
      <c r="E117" t="s">
        <v>24</v>
      </c>
      <c r="F117" t="s">
        <v>96</v>
      </c>
      <c r="G117">
        <v>43</v>
      </c>
      <c r="H117" t="s">
        <v>60</v>
      </c>
      <c r="I117" t="s">
        <v>285</v>
      </c>
      <c r="J117">
        <v>808948</v>
      </c>
      <c r="K117" t="s">
        <v>18</v>
      </c>
      <c r="L117" s="1">
        <v>42423.554166666669</v>
      </c>
      <c r="M117" s="1">
        <v>42423</v>
      </c>
      <c r="N117" s="3">
        <f>INT(BrightTV_JoinedTablesnw_2026_04_16_23_55_09[[#This Row],[Viewership.RecordDate22]])</f>
        <v>42423</v>
      </c>
      <c r="O117" s="2">
        <v>0.5541666666666667</v>
      </c>
      <c r="P117" t="s">
        <v>291</v>
      </c>
      <c r="Q117">
        <v>808948</v>
      </c>
      <c r="R117" t="s">
        <v>20</v>
      </c>
    </row>
    <row r="118" spans="1:18" x14ac:dyDescent="0.25">
      <c r="A118">
        <v>808948</v>
      </c>
      <c r="B118" t="s">
        <v>282</v>
      </c>
      <c r="C118" t="s">
        <v>283</v>
      </c>
      <c r="D118" t="s">
        <v>284</v>
      </c>
      <c r="E118" t="s">
        <v>24</v>
      </c>
      <c r="F118" t="s">
        <v>96</v>
      </c>
      <c r="G118">
        <v>43</v>
      </c>
      <c r="H118" t="s">
        <v>60</v>
      </c>
      <c r="I118" t="s">
        <v>285</v>
      </c>
      <c r="J118">
        <v>808948</v>
      </c>
      <c r="K118" t="s">
        <v>32</v>
      </c>
      <c r="L118" s="1">
        <v>42413.128472222219</v>
      </c>
      <c r="M118" s="1">
        <v>42413</v>
      </c>
      <c r="N118" s="3">
        <f>INT(BrightTV_JoinedTablesnw_2026_04_16_23_55_09[[#This Row],[Viewership.RecordDate22]])</f>
        <v>42413</v>
      </c>
      <c r="O118" s="2">
        <v>0.12847222222222221</v>
      </c>
      <c r="P118" t="s">
        <v>63</v>
      </c>
      <c r="Q118">
        <v>808948</v>
      </c>
      <c r="R118" t="s">
        <v>20</v>
      </c>
    </row>
    <row r="119" spans="1:18" x14ac:dyDescent="0.25">
      <c r="A119">
        <v>779395</v>
      </c>
      <c r="B119" t="s">
        <v>292</v>
      </c>
      <c r="C119" t="s">
        <v>293</v>
      </c>
      <c r="D119" t="s">
        <v>294</v>
      </c>
      <c r="E119" t="s">
        <v>38</v>
      </c>
      <c r="F119" t="s">
        <v>96</v>
      </c>
      <c r="G119">
        <v>23</v>
      </c>
      <c r="H119" t="s">
        <v>60</v>
      </c>
      <c r="I119" t="s">
        <v>295</v>
      </c>
      <c r="J119">
        <v>779395</v>
      </c>
      <c r="K119" t="s">
        <v>84</v>
      </c>
      <c r="L119" s="1">
        <v>42414.584027777775</v>
      </c>
      <c r="M119" s="1">
        <v>42414</v>
      </c>
      <c r="N119" s="3">
        <f>INT(BrightTV_JoinedTablesnw_2026_04_16_23_55_09[[#This Row],[Viewership.RecordDate22]])</f>
        <v>42414</v>
      </c>
      <c r="O119" s="2">
        <v>0.58402777777777781</v>
      </c>
      <c r="P119" t="s">
        <v>296</v>
      </c>
      <c r="Q119">
        <v>779395</v>
      </c>
      <c r="R119" t="s">
        <v>20</v>
      </c>
    </row>
    <row r="120" spans="1:18" x14ac:dyDescent="0.25">
      <c r="A120">
        <v>779395</v>
      </c>
      <c r="B120" t="s">
        <v>292</v>
      </c>
      <c r="C120" t="s">
        <v>293</v>
      </c>
      <c r="D120" t="s">
        <v>294</v>
      </c>
      <c r="E120" t="s">
        <v>38</v>
      </c>
      <c r="F120" t="s">
        <v>96</v>
      </c>
      <c r="G120">
        <v>23</v>
      </c>
      <c r="H120" t="s">
        <v>60</v>
      </c>
      <c r="I120" t="s">
        <v>295</v>
      </c>
      <c r="J120">
        <v>779395</v>
      </c>
      <c r="K120" t="s">
        <v>77</v>
      </c>
      <c r="L120" s="1">
        <v>42410.671527777777</v>
      </c>
      <c r="M120" s="1">
        <v>42410</v>
      </c>
      <c r="N120" s="3">
        <f>INT(BrightTV_JoinedTablesnw_2026_04_16_23_55_09[[#This Row],[Viewership.RecordDate22]])</f>
        <v>42410</v>
      </c>
      <c r="O120" s="2">
        <v>0.67152777777777772</v>
      </c>
      <c r="P120" t="s">
        <v>297</v>
      </c>
      <c r="Q120">
        <v>779395</v>
      </c>
      <c r="R120" t="s">
        <v>20</v>
      </c>
    </row>
    <row r="121" spans="1:18" x14ac:dyDescent="0.25">
      <c r="A121">
        <v>771816</v>
      </c>
      <c r="B121" t="s">
        <v>35</v>
      </c>
      <c r="C121" t="s">
        <v>298</v>
      </c>
      <c r="D121" t="s">
        <v>299</v>
      </c>
      <c r="E121" t="s">
        <v>38</v>
      </c>
      <c r="F121" t="s">
        <v>39</v>
      </c>
      <c r="G121">
        <v>31</v>
      </c>
      <c r="H121" t="s">
        <v>40</v>
      </c>
      <c r="I121" t="s">
        <v>41</v>
      </c>
      <c r="J121">
        <v>771816</v>
      </c>
      <c r="K121" t="s">
        <v>28</v>
      </c>
      <c r="L121" s="1">
        <v>42370.374305555553</v>
      </c>
      <c r="M121" s="1">
        <v>42370</v>
      </c>
      <c r="N121" s="3">
        <f>INT(BrightTV_JoinedTablesnw_2026_04_16_23_55_09[[#This Row],[Viewership.RecordDate22]])</f>
        <v>42370</v>
      </c>
      <c r="O121" s="2">
        <v>0.37430555555555556</v>
      </c>
      <c r="P121" t="s">
        <v>300</v>
      </c>
      <c r="Q121">
        <v>771816</v>
      </c>
      <c r="R121" t="s">
        <v>20</v>
      </c>
    </row>
    <row r="122" spans="1:18" x14ac:dyDescent="0.25">
      <c r="A122">
        <v>771816</v>
      </c>
      <c r="B122" t="s">
        <v>35</v>
      </c>
      <c r="C122" t="s">
        <v>298</v>
      </c>
      <c r="D122" t="s">
        <v>299</v>
      </c>
      <c r="E122" t="s">
        <v>38</v>
      </c>
      <c r="F122" t="s">
        <v>39</v>
      </c>
      <c r="G122">
        <v>31</v>
      </c>
      <c r="H122" t="s">
        <v>40</v>
      </c>
      <c r="I122" t="s">
        <v>41</v>
      </c>
      <c r="J122">
        <v>771816</v>
      </c>
      <c r="K122" t="s">
        <v>32</v>
      </c>
      <c r="L122" s="1">
        <v>42370.376388888886</v>
      </c>
      <c r="M122" s="1">
        <v>42370</v>
      </c>
      <c r="N122" s="3">
        <f>INT(BrightTV_JoinedTablesnw_2026_04_16_23_55_09[[#This Row],[Viewership.RecordDate22]])</f>
        <v>42370</v>
      </c>
      <c r="O122" s="2">
        <v>0.37638888888888888</v>
      </c>
      <c r="P122" t="s">
        <v>301</v>
      </c>
      <c r="Q122">
        <v>771816</v>
      </c>
      <c r="R122" t="s">
        <v>20</v>
      </c>
    </row>
    <row r="123" spans="1:18" x14ac:dyDescent="0.25">
      <c r="A123">
        <v>771816</v>
      </c>
      <c r="B123" t="s">
        <v>35</v>
      </c>
      <c r="C123" t="s">
        <v>298</v>
      </c>
      <c r="D123" t="s">
        <v>299</v>
      </c>
      <c r="E123" t="s">
        <v>38</v>
      </c>
      <c r="F123" t="s">
        <v>39</v>
      </c>
      <c r="G123">
        <v>31</v>
      </c>
      <c r="H123" t="s">
        <v>40</v>
      </c>
      <c r="I123" t="s">
        <v>41</v>
      </c>
      <c r="J123">
        <v>771816</v>
      </c>
      <c r="K123" t="s">
        <v>77</v>
      </c>
      <c r="L123" s="1">
        <v>42370.811805555553</v>
      </c>
      <c r="M123" s="1">
        <v>42370</v>
      </c>
      <c r="N123" s="3">
        <f>INT(BrightTV_JoinedTablesnw_2026_04_16_23_55_09[[#This Row],[Viewership.RecordDate22]])</f>
        <v>42370</v>
      </c>
      <c r="O123" s="2">
        <v>0.81180555555555556</v>
      </c>
      <c r="P123" t="s">
        <v>302</v>
      </c>
      <c r="Q123">
        <v>771816</v>
      </c>
      <c r="R123" t="s">
        <v>20</v>
      </c>
    </row>
    <row r="124" spans="1:18" x14ac:dyDescent="0.25">
      <c r="A124">
        <v>771816</v>
      </c>
      <c r="B124" t="s">
        <v>35</v>
      </c>
      <c r="C124" t="s">
        <v>298</v>
      </c>
      <c r="D124" t="s">
        <v>299</v>
      </c>
      <c r="E124" t="s">
        <v>38</v>
      </c>
      <c r="F124" t="s">
        <v>39</v>
      </c>
      <c r="G124">
        <v>31</v>
      </c>
      <c r="H124" t="s">
        <v>40</v>
      </c>
      <c r="I124" t="s">
        <v>41</v>
      </c>
      <c r="J124">
        <v>771816</v>
      </c>
      <c r="K124" t="s">
        <v>84</v>
      </c>
      <c r="L124" s="1">
        <v>42452.54791666667</v>
      </c>
      <c r="M124" s="1">
        <v>42452</v>
      </c>
      <c r="N124" s="3">
        <f>INT(BrightTV_JoinedTablesnw_2026_04_16_23_55_09[[#This Row],[Viewership.RecordDate22]])</f>
        <v>42452</v>
      </c>
      <c r="O124" s="2">
        <v>0.54791666666666672</v>
      </c>
      <c r="P124" t="s">
        <v>185</v>
      </c>
      <c r="Q124">
        <v>771816</v>
      </c>
      <c r="R124" t="s">
        <v>20</v>
      </c>
    </row>
    <row r="125" spans="1:18" x14ac:dyDescent="0.25">
      <c r="A125">
        <v>771816</v>
      </c>
      <c r="B125" t="s">
        <v>35</v>
      </c>
      <c r="C125" t="s">
        <v>298</v>
      </c>
      <c r="D125" t="s">
        <v>299</v>
      </c>
      <c r="E125" t="s">
        <v>38</v>
      </c>
      <c r="F125" t="s">
        <v>39</v>
      </c>
      <c r="G125">
        <v>31</v>
      </c>
      <c r="H125" t="s">
        <v>40</v>
      </c>
      <c r="I125" t="s">
        <v>41</v>
      </c>
      <c r="J125">
        <v>771816</v>
      </c>
      <c r="K125" t="s">
        <v>77</v>
      </c>
      <c r="L125" s="1">
        <v>42406.893055555556</v>
      </c>
      <c r="M125" s="1">
        <v>42406</v>
      </c>
      <c r="N125" s="3">
        <f>INT(BrightTV_JoinedTablesnw_2026_04_16_23_55_09[[#This Row],[Viewership.RecordDate22]])</f>
        <v>42406</v>
      </c>
      <c r="O125" s="2">
        <v>0.8930555555555556</v>
      </c>
      <c r="P125" t="s">
        <v>303</v>
      </c>
      <c r="Q125">
        <v>771816</v>
      </c>
      <c r="R125" t="s">
        <v>20</v>
      </c>
    </row>
    <row r="126" spans="1:18" x14ac:dyDescent="0.25">
      <c r="A126">
        <v>771816</v>
      </c>
      <c r="B126" t="s">
        <v>35</v>
      </c>
      <c r="C126" t="s">
        <v>298</v>
      </c>
      <c r="D126" t="s">
        <v>299</v>
      </c>
      <c r="E126" t="s">
        <v>38</v>
      </c>
      <c r="F126" t="s">
        <v>39</v>
      </c>
      <c r="G126">
        <v>31</v>
      </c>
      <c r="H126" t="s">
        <v>40</v>
      </c>
      <c r="I126" t="s">
        <v>41</v>
      </c>
      <c r="J126">
        <v>771816</v>
      </c>
      <c r="K126" t="s">
        <v>77</v>
      </c>
      <c r="L126" s="1">
        <v>42427.480555555558</v>
      </c>
      <c r="M126" s="1">
        <v>42427</v>
      </c>
      <c r="N126" s="3">
        <f>INT(BrightTV_JoinedTablesnw_2026_04_16_23_55_09[[#This Row],[Viewership.RecordDate22]])</f>
        <v>42427</v>
      </c>
      <c r="O126" s="2">
        <v>0.48055555555555557</v>
      </c>
      <c r="P126" t="s">
        <v>64</v>
      </c>
      <c r="Q126">
        <v>771816</v>
      </c>
      <c r="R126" t="s">
        <v>20</v>
      </c>
    </row>
    <row r="127" spans="1:18" x14ac:dyDescent="0.25">
      <c r="A127">
        <v>771816</v>
      </c>
      <c r="B127" t="s">
        <v>35</v>
      </c>
      <c r="C127" t="s">
        <v>298</v>
      </c>
      <c r="D127" t="s">
        <v>299</v>
      </c>
      <c r="E127" t="s">
        <v>38</v>
      </c>
      <c r="F127" t="s">
        <v>39</v>
      </c>
      <c r="G127">
        <v>31</v>
      </c>
      <c r="H127" t="s">
        <v>40</v>
      </c>
      <c r="I127" t="s">
        <v>41</v>
      </c>
      <c r="J127">
        <v>771816</v>
      </c>
      <c r="K127" t="s">
        <v>77</v>
      </c>
      <c r="L127" s="1">
        <v>42436.245833333334</v>
      </c>
      <c r="M127" s="1">
        <v>42436</v>
      </c>
      <c r="N127" s="3">
        <f>INT(BrightTV_JoinedTablesnw_2026_04_16_23_55_09[[#This Row],[Viewership.RecordDate22]])</f>
        <v>42436</v>
      </c>
      <c r="O127" s="2">
        <v>0.24583333333333332</v>
      </c>
      <c r="P127" t="s">
        <v>302</v>
      </c>
      <c r="Q127">
        <v>771816</v>
      </c>
      <c r="R127" t="s">
        <v>20</v>
      </c>
    </row>
    <row r="128" spans="1:18" x14ac:dyDescent="0.25">
      <c r="A128">
        <v>771816</v>
      </c>
      <c r="B128" t="s">
        <v>35</v>
      </c>
      <c r="C128" t="s">
        <v>298</v>
      </c>
      <c r="D128" t="s">
        <v>299</v>
      </c>
      <c r="E128" t="s">
        <v>38</v>
      </c>
      <c r="F128" t="s">
        <v>39</v>
      </c>
      <c r="G128">
        <v>31</v>
      </c>
      <c r="H128" t="s">
        <v>40</v>
      </c>
      <c r="I128" t="s">
        <v>41</v>
      </c>
      <c r="J128">
        <v>771816</v>
      </c>
      <c r="K128" t="s">
        <v>84</v>
      </c>
      <c r="L128" s="1">
        <v>42430.352083333331</v>
      </c>
      <c r="M128" s="1">
        <v>42430</v>
      </c>
      <c r="N128" s="3">
        <f>INT(BrightTV_JoinedTablesnw_2026_04_16_23_55_09[[#This Row],[Viewership.RecordDate22]])</f>
        <v>42430</v>
      </c>
      <c r="O128" s="2">
        <v>0.35208333333333336</v>
      </c>
      <c r="P128" t="s">
        <v>304</v>
      </c>
      <c r="Q128">
        <v>771816</v>
      </c>
      <c r="R128" t="s">
        <v>20</v>
      </c>
    </row>
    <row r="129" spans="1:18" x14ac:dyDescent="0.25">
      <c r="A129">
        <v>788649</v>
      </c>
      <c r="B129" t="s">
        <v>228</v>
      </c>
      <c r="C129" t="s">
        <v>305</v>
      </c>
      <c r="D129" t="s">
        <v>306</v>
      </c>
      <c r="E129" t="s">
        <v>38</v>
      </c>
      <c r="F129" t="s">
        <v>25</v>
      </c>
      <c r="G129">
        <v>39</v>
      </c>
      <c r="H129" t="s">
        <v>40</v>
      </c>
      <c r="I129" t="s">
        <v>230</v>
      </c>
      <c r="J129">
        <v>788649</v>
      </c>
      <c r="K129" t="s">
        <v>54</v>
      </c>
      <c r="L129" s="1">
        <v>42384.758333333331</v>
      </c>
      <c r="M129" s="1">
        <v>42384</v>
      </c>
      <c r="N129" s="3">
        <f>INT(BrightTV_JoinedTablesnw_2026_04_16_23_55_09[[#This Row],[Viewership.RecordDate22]])</f>
        <v>42384</v>
      </c>
      <c r="O129" s="2">
        <v>0.7583333333333333</v>
      </c>
      <c r="P129" t="s">
        <v>307</v>
      </c>
      <c r="Q129">
        <v>788649</v>
      </c>
      <c r="R129" t="s">
        <v>20</v>
      </c>
    </row>
    <row r="130" spans="1:18" x14ac:dyDescent="0.25">
      <c r="A130">
        <v>808949</v>
      </c>
      <c r="B130" t="s">
        <v>308</v>
      </c>
      <c r="C130" t="s">
        <v>87</v>
      </c>
      <c r="D130" t="s">
        <v>309</v>
      </c>
      <c r="E130" t="s">
        <v>24</v>
      </c>
      <c r="F130" t="s">
        <v>39</v>
      </c>
      <c r="G130">
        <v>35</v>
      </c>
      <c r="H130" t="s">
        <v>52</v>
      </c>
      <c r="I130" t="s">
        <v>310</v>
      </c>
      <c r="J130">
        <v>808949</v>
      </c>
      <c r="K130" t="s">
        <v>129</v>
      </c>
      <c r="L130" s="1">
        <v>42420.370138888888</v>
      </c>
      <c r="M130" s="1">
        <v>42420</v>
      </c>
      <c r="N130" s="3">
        <f>INT(BrightTV_JoinedTablesnw_2026_04_16_23_55_09[[#This Row],[Viewership.RecordDate22]])</f>
        <v>42420</v>
      </c>
      <c r="O130" s="2">
        <v>0.37013888888888891</v>
      </c>
      <c r="P130" t="s">
        <v>311</v>
      </c>
      <c r="Q130">
        <v>808949</v>
      </c>
      <c r="R130" t="s">
        <v>20</v>
      </c>
    </row>
    <row r="131" spans="1:18" x14ac:dyDescent="0.25">
      <c r="A131">
        <v>808949</v>
      </c>
      <c r="B131" t="s">
        <v>308</v>
      </c>
      <c r="C131" t="s">
        <v>87</v>
      </c>
      <c r="D131" t="s">
        <v>309</v>
      </c>
      <c r="E131" t="s">
        <v>24</v>
      </c>
      <c r="F131" t="s">
        <v>39</v>
      </c>
      <c r="G131">
        <v>35</v>
      </c>
      <c r="H131" t="s">
        <v>52</v>
      </c>
      <c r="I131" t="s">
        <v>310</v>
      </c>
      <c r="J131">
        <v>808949</v>
      </c>
      <c r="K131" t="s">
        <v>129</v>
      </c>
      <c r="L131" s="1">
        <v>42415.827777777777</v>
      </c>
      <c r="M131" s="1">
        <v>42415</v>
      </c>
      <c r="N131" s="3">
        <f>INT(BrightTV_JoinedTablesnw_2026_04_16_23_55_09[[#This Row],[Viewership.RecordDate22]])</f>
        <v>42415</v>
      </c>
      <c r="O131" s="2">
        <v>0.82777777777777772</v>
      </c>
      <c r="P131" t="s">
        <v>312</v>
      </c>
      <c r="Q131">
        <v>808949</v>
      </c>
      <c r="R131" t="s">
        <v>20</v>
      </c>
    </row>
    <row r="132" spans="1:18" x14ac:dyDescent="0.25">
      <c r="A132">
        <v>808949</v>
      </c>
      <c r="B132" t="s">
        <v>308</v>
      </c>
      <c r="C132" t="s">
        <v>87</v>
      </c>
      <c r="D132" t="s">
        <v>309</v>
      </c>
      <c r="E132" t="s">
        <v>24</v>
      </c>
      <c r="F132" t="s">
        <v>39</v>
      </c>
      <c r="G132">
        <v>35</v>
      </c>
      <c r="H132" t="s">
        <v>52</v>
      </c>
      <c r="I132" t="s">
        <v>310</v>
      </c>
      <c r="J132">
        <v>808949</v>
      </c>
      <c r="K132" t="s">
        <v>129</v>
      </c>
      <c r="L132" s="1">
        <v>42431.51458333333</v>
      </c>
      <c r="M132" s="1">
        <v>42431</v>
      </c>
      <c r="N132" s="3">
        <f>INT(BrightTV_JoinedTablesnw_2026_04_16_23_55_09[[#This Row],[Viewership.RecordDate22]])</f>
        <v>42431</v>
      </c>
      <c r="O132" s="2">
        <v>0.51458333333333328</v>
      </c>
      <c r="P132" t="s">
        <v>313</v>
      </c>
      <c r="Q132">
        <v>808949</v>
      </c>
      <c r="R132" t="s">
        <v>20</v>
      </c>
    </row>
    <row r="133" spans="1:18" x14ac:dyDescent="0.25">
      <c r="A133">
        <v>808949</v>
      </c>
      <c r="B133" t="s">
        <v>308</v>
      </c>
      <c r="C133" t="s">
        <v>87</v>
      </c>
      <c r="D133" t="s">
        <v>309</v>
      </c>
      <c r="E133" t="s">
        <v>24</v>
      </c>
      <c r="F133" t="s">
        <v>39</v>
      </c>
      <c r="G133">
        <v>35</v>
      </c>
      <c r="H133" t="s">
        <v>52</v>
      </c>
      <c r="I133" t="s">
        <v>310</v>
      </c>
      <c r="J133">
        <v>808949</v>
      </c>
      <c r="K133" t="s">
        <v>129</v>
      </c>
      <c r="L133" s="1">
        <v>42414.413888888892</v>
      </c>
      <c r="M133" s="1">
        <v>42414</v>
      </c>
      <c r="N133" s="3">
        <f>INT(BrightTV_JoinedTablesnw_2026_04_16_23_55_09[[#This Row],[Viewership.RecordDate22]])</f>
        <v>42414</v>
      </c>
      <c r="O133" s="2">
        <v>0.41388888888888886</v>
      </c>
      <c r="P133" t="s">
        <v>314</v>
      </c>
      <c r="Q133">
        <v>808949</v>
      </c>
      <c r="R133" t="s">
        <v>20</v>
      </c>
    </row>
    <row r="134" spans="1:18" x14ac:dyDescent="0.25">
      <c r="A134">
        <v>808949</v>
      </c>
      <c r="B134" t="s">
        <v>308</v>
      </c>
      <c r="C134" t="s">
        <v>87</v>
      </c>
      <c r="D134" t="s">
        <v>309</v>
      </c>
      <c r="E134" t="s">
        <v>24</v>
      </c>
      <c r="F134" t="s">
        <v>39</v>
      </c>
      <c r="G134">
        <v>35</v>
      </c>
      <c r="H134" t="s">
        <v>52</v>
      </c>
      <c r="I134" t="s">
        <v>310</v>
      </c>
      <c r="J134">
        <v>808949</v>
      </c>
      <c r="K134" t="s">
        <v>30</v>
      </c>
      <c r="L134" s="1">
        <v>42438.433333333334</v>
      </c>
      <c r="M134" s="1">
        <v>42438</v>
      </c>
      <c r="N134" s="3">
        <f>INT(BrightTV_JoinedTablesnw_2026_04_16_23_55_09[[#This Row],[Viewership.RecordDate22]])</f>
        <v>42438</v>
      </c>
      <c r="O134" s="2">
        <v>0.43333333333333335</v>
      </c>
      <c r="P134" t="s">
        <v>315</v>
      </c>
      <c r="Q134">
        <v>808949</v>
      </c>
      <c r="R134" t="s">
        <v>20</v>
      </c>
    </row>
    <row r="135" spans="1:18" x14ac:dyDescent="0.25">
      <c r="A135">
        <v>460303</v>
      </c>
      <c r="B135" t="s">
        <v>16</v>
      </c>
      <c r="C135" t="s">
        <v>16</v>
      </c>
      <c r="D135" t="s">
        <v>316</v>
      </c>
      <c r="E135" t="s">
        <v>16</v>
      </c>
      <c r="F135" t="s">
        <v>16</v>
      </c>
      <c r="G135">
        <v>0</v>
      </c>
      <c r="H135" t="s">
        <v>16</v>
      </c>
      <c r="I135" t="s">
        <v>16</v>
      </c>
      <c r="J135">
        <v>460303</v>
      </c>
      <c r="K135" t="s">
        <v>84</v>
      </c>
      <c r="L135" s="1">
        <v>42391.770833333336</v>
      </c>
      <c r="M135" s="1">
        <v>42391</v>
      </c>
      <c r="N135" s="3">
        <f>INT(BrightTV_JoinedTablesnw_2026_04_16_23_55_09[[#This Row],[Viewership.RecordDate22]])</f>
        <v>42391</v>
      </c>
      <c r="O135" s="2">
        <v>0.77083333333333337</v>
      </c>
      <c r="P135" t="s">
        <v>303</v>
      </c>
      <c r="Q135">
        <v>460303</v>
      </c>
      <c r="R135" t="s">
        <v>20</v>
      </c>
    </row>
    <row r="136" spans="1:18" x14ac:dyDescent="0.25">
      <c r="A136">
        <v>808950</v>
      </c>
      <c r="B136" t="s">
        <v>317</v>
      </c>
      <c r="C136" t="s">
        <v>104</v>
      </c>
      <c r="D136" t="s">
        <v>318</v>
      </c>
      <c r="E136" t="s">
        <v>38</v>
      </c>
      <c r="F136" t="s">
        <v>39</v>
      </c>
      <c r="G136">
        <v>18</v>
      </c>
      <c r="H136" t="s">
        <v>252</v>
      </c>
      <c r="I136" t="s">
        <v>319</v>
      </c>
      <c r="J136">
        <v>808950</v>
      </c>
      <c r="K136" t="s">
        <v>30</v>
      </c>
      <c r="L136" s="1">
        <v>42418.642361111109</v>
      </c>
      <c r="M136" s="1">
        <v>42418</v>
      </c>
      <c r="N136" s="3">
        <f>INT(BrightTV_JoinedTablesnw_2026_04_16_23_55_09[[#This Row],[Viewership.RecordDate22]])</f>
        <v>42418</v>
      </c>
      <c r="O136" s="2">
        <v>0.64236111111111116</v>
      </c>
      <c r="P136" t="s">
        <v>320</v>
      </c>
      <c r="Q136">
        <v>808950</v>
      </c>
      <c r="R136" t="s">
        <v>20</v>
      </c>
    </row>
    <row r="137" spans="1:18" x14ac:dyDescent="0.25">
      <c r="A137">
        <v>808950</v>
      </c>
      <c r="B137" t="s">
        <v>317</v>
      </c>
      <c r="C137" t="s">
        <v>104</v>
      </c>
      <c r="D137" t="s">
        <v>318</v>
      </c>
      <c r="E137" t="s">
        <v>38</v>
      </c>
      <c r="F137" t="s">
        <v>39</v>
      </c>
      <c r="G137">
        <v>18</v>
      </c>
      <c r="H137" t="s">
        <v>252</v>
      </c>
      <c r="I137" t="s">
        <v>319</v>
      </c>
      <c r="J137">
        <v>808950</v>
      </c>
      <c r="K137" t="s">
        <v>32</v>
      </c>
      <c r="L137" s="1">
        <v>42418.626388888886</v>
      </c>
      <c r="M137" s="1">
        <v>42418</v>
      </c>
      <c r="N137" s="3">
        <f>INT(BrightTV_JoinedTablesnw_2026_04_16_23_55_09[[#This Row],[Viewership.RecordDate22]])</f>
        <v>42418</v>
      </c>
      <c r="O137" s="2">
        <v>0.62638888888888888</v>
      </c>
      <c r="P137" t="s">
        <v>100</v>
      </c>
      <c r="Q137">
        <v>808950</v>
      </c>
      <c r="R137" t="s">
        <v>20</v>
      </c>
    </row>
    <row r="138" spans="1:18" x14ac:dyDescent="0.25">
      <c r="A138">
        <v>808950</v>
      </c>
      <c r="B138" t="s">
        <v>317</v>
      </c>
      <c r="C138" t="s">
        <v>104</v>
      </c>
      <c r="D138" t="s">
        <v>318</v>
      </c>
      <c r="E138" t="s">
        <v>38</v>
      </c>
      <c r="F138" t="s">
        <v>39</v>
      </c>
      <c r="G138">
        <v>18</v>
      </c>
      <c r="H138" t="s">
        <v>252</v>
      </c>
      <c r="I138" t="s">
        <v>319</v>
      </c>
      <c r="J138">
        <v>808950</v>
      </c>
      <c r="K138" t="s">
        <v>30</v>
      </c>
      <c r="L138" s="1">
        <v>42418.331250000003</v>
      </c>
      <c r="M138" s="1">
        <v>42418</v>
      </c>
      <c r="N138" s="3">
        <f>INT(BrightTV_JoinedTablesnw_2026_04_16_23_55_09[[#This Row],[Viewership.RecordDate22]])</f>
        <v>42418</v>
      </c>
      <c r="O138" s="2">
        <v>0.33124999999999999</v>
      </c>
      <c r="P138" t="s">
        <v>321</v>
      </c>
      <c r="Q138">
        <v>808950</v>
      </c>
      <c r="R138" t="s">
        <v>20</v>
      </c>
    </row>
    <row r="139" spans="1:18" x14ac:dyDescent="0.25">
      <c r="A139">
        <v>808950</v>
      </c>
      <c r="B139" t="s">
        <v>317</v>
      </c>
      <c r="C139" t="s">
        <v>104</v>
      </c>
      <c r="D139" t="s">
        <v>318</v>
      </c>
      <c r="E139" t="s">
        <v>38</v>
      </c>
      <c r="F139" t="s">
        <v>39</v>
      </c>
      <c r="G139">
        <v>18</v>
      </c>
      <c r="H139" t="s">
        <v>252</v>
      </c>
      <c r="I139" t="s">
        <v>319</v>
      </c>
      <c r="J139">
        <v>808950</v>
      </c>
      <c r="K139" t="s">
        <v>47</v>
      </c>
      <c r="L139" s="1">
        <v>42420.686805555553</v>
      </c>
      <c r="M139" s="1">
        <v>42420</v>
      </c>
      <c r="N139" s="3">
        <f>INT(BrightTV_JoinedTablesnw_2026_04_16_23_55_09[[#This Row],[Viewership.RecordDate22]])</f>
        <v>42420</v>
      </c>
      <c r="O139" s="2">
        <v>0.68680555555555556</v>
      </c>
      <c r="P139" t="s">
        <v>151</v>
      </c>
      <c r="Q139">
        <v>808950</v>
      </c>
      <c r="R139" t="s">
        <v>20</v>
      </c>
    </row>
    <row r="140" spans="1:18" x14ac:dyDescent="0.25">
      <c r="A140">
        <v>808950</v>
      </c>
      <c r="B140" t="s">
        <v>317</v>
      </c>
      <c r="C140" t="s">
        <v>104</v>
      </c>
      <c r="D140" t="s">
        <v>318</v>
      </c>
      <c r="E140" t="s">
        <v>38</v>
      </c>
      <c r="F140" t="s">
        <v>39</v>
      </c>
      <c r="G140">
        <v>18</v>
      </c>
      <c r="H140" t="s">
        <v>252</v>
      </c>
      <c r="I140" t="s">
        <v>319</v>
      </c>
      <c r="J140">
        <v>808950</v>
      </c>
      <c r="K140" t="s">
        <v>54</v>
      </c>
      <c r="L140" s="1">
        <v>42432.838888888888</v>
      </c>
      <c r="M140" s="1">
        <v>42432</v>
      </c>
      <c r="N140" s="3">
        <f>INT(BrightTV_JoinedTablesnw_2026_04_16_23_55_09[[#This Row],[Viewership.RecordDate22]])</f>
        <v>42432</v>
      </c>
      <c r="O140" s="2">
        <v>0.83888888888888891</v>
      </c>
      <c r="P140" t="s">
        <v>174</v>
      </c>
      <c r="Q140">
        <v>808950</v>
      </c>
      <c r="R140" t="s">
        <v>20</v>
      </c>
    </row>
    <row r="141" spans="1:18" x14ac:dyDescent="0.25">
      <c r="A141">
        <v>808950</v>
      </c>
      <c r="B141" t="s">
        <v>317</v>
      </c>
      <c r="C141" t="s">
        <v>104</v>
      </c>
      <c r="D141" t="s">
        <v>318</v>
      </c>
      <c r="E141" t="s">
        <v>38</v>
      </c>
      <c r="F141" t="s">
        <v>39</v>
      </c>
      <c r="G141">
        <v>18</v>
      </c>
      <c r="H141" t="s">
        <v>252</v>
      </c>
      <c r="I141" t="s">
        <v>319</v>
      </c>
      <c r="J141">
        <v>808950</v>
      </c>
      <c r="K141" t="s">
        <v>32</v>
      </c>
      <c r="L141" s="1">
        <v>42418.26666666667</v>
      </c>
      <c r="M141" s="1">
        <v>42418</v>
      </c>
      <c r="N141" s="3">
        <f>INT(BrightTV_JoinedTablesnw_2026_04_16_23_55_09[[#This Row],[Viewership.RecordDate22]])</f>
        <v>42418</v>
      </c>
      <c r="O141" s="2">
        <v>0.26666666666666666</v>
      </c>
      <c r="P141" t="s">
        <v>85</v>
      </c>
      <c r="Q141">
        <v>808950</v>
      </c>
      <c r="R141" t="s">
        <v>20</v>
      </c>
    </row>
    <row r="142" spans="1:18" x14ac:dyDescent="0.25">
      <c r="A142">
        <v>808950</v>
      </c>
      <c r="B142" t="s">
        <v>317</v>
      </c>
      <c r="C142" t="s">
        <v>104</v>
      </c>
      <c r="D142" t="s">
        <v>318</v>
      </c>
      <c r="E142" t="s">
        <v>38</v>
      </c>
      <c r="F142" t="s">
        <v>39</v>
      </c>
      <c r="G142">
        <v>18</v>
      </c>
      <c r="H142" t="s">
        <v>252</v>
      </c>
      <c r="I142" t="s">
        <v>319</v>
      </c>
      <c r="J142">
        <v>808950</v>
      </c>
      <c r="K142" t="s">
        <v>77</v>
      </c>
      <c r="L142" s="1">
        <v>42418.400694444441</v>
      </c>
      <c r="M142" s="1">
        <v>42418</v>
      </c>
      <c r="N142" s="3">
        <f>INT(BrightTV_JoinedTablesnw_2026_04_16_23_55_09[[#This Row],[Viewership.RecordDate22]])</f>
        <v>42418</v>
      </c>
      <c r="O142" s="2">
        <v>0.40069444444444446</v>
      </c>
      <c r="P142" t="s">
        <v>287</v>
      </c>
      <c r="Q142">
        <v>808950</v>
      </c>
      <c r="R142" t="s">
        <v>20</v>
      </c>
    </row>
    <row r="143" spans="1:18" x14ac:dyDescent="0.25">
      <c r="A143">
        <v>808950</v>
      </c>
      <c r="B143" t="s">
        <v>317</v>
      </c>
      <c r="C143" t="s">
        <v>104</v>
      </c>
      <c r="D143" t="s">
        <v>318</v>
      </c>
      <c r="E143" t="s">
        <v>38</v>
      </c>
      <c r="F143" t="s">
        <v>39</v>
      </c>
      <c r="G143">
        <v>18</v>
      </c>
      <c r="H143" t="s">
        <v>252</v>
      </c>
      <c r="I143" t="s">
        <v>319</v>
      </c>
      <c r="J143">
        <v>808950</v>
      </c>
      <c r="K143" t="s">
        <v>32</v>
      </c>
      <c r="L143" s="1">
        <v>42418.700694444444</v>
      </c>
      <c r="M143" s="1">
        <v>42418</v>
      </c>
      <c r="N143" s="3">
        <f>INT(BrightTV_JoinedTablesnw_2026_04_16_23_55_09[[#This Row],[Viewership.RecordDate22]])</f>
        <v>42418</v>
      </c>
      <c r="O143" s="2">
        <v>0.7006944444444444</v>
      </c>
      <c r="P143" t="s">
        <v>215</v>
      </c>
      <c r="Q143">
        <v>808950</v>
      </c>
      <c r="R143" t="s">
        <v>20</v>
      </c>
    </row>
    <row r="144" spans="1:18" x14ac:dyDescent="0.25">
      <c r="A144">
        <v>808950</v>
      </c>
      <c r="B144" t="s">
        <v>317</v>
      </c>
      <c r="C144" t="s">
        <v>104</v>
      </c>
      <c r="D144" t="s">
        <v>318</v>
      </c>
      <c r="E144" t="s">
        <v>38</v>
      </c>
      <c r="F144" t="s">
        <v>39</v>
      </c>
      <c r="G144">
        <v>18</v>
      </c>
      <c r="H144" t="s">
        <v>252</v>
      </c>
      <c r="I144" t="s">
        <v>319</v>
      </c>
      <c r="J144">
        <v>808950</v>
      </c>
      <c r="K144" t="s">
        <v>47</v>
      </c>
      <c r="L144" s="1">
        <v>42435.695138888892</v>
      </c>
      <c r="M144" s="1">
        <v>42435</v>
      </c>
      <c r="N144" s="3">
        <f>INT(BrightTV_JoinedTablesnw_2026_04_16_23_55_09[[#This Row],[Viewership.RecordDate22]])</f>
        <v>42435</v>
      </c>
      <c r="O144" s="2">
        <v>0.69513888888888886</v>
      </c>
      <c r="P144" t="s">
        <v>322</v>
      </c>
      <c r="Q144">
        <v>808950</v>
      </c>
      <c r="R144" t="s">
        <v>20</v>
      </c>
    </row>
    <row r="145" spans="1:18" x14ac:dyDescent="0.25">
      <c r="A145">
        <v>808950</v>
      </c>
      <c r="B145" t="s">
        <v>317</v>
      </c>
      <c r="C145" t="s">
        <v>104</v>
      </c>
      <c r="D145" t="s">
        <v>318</v>
      </c>
      <c r="E145" t="s">
        <v>38</v>
      </c>
      <c r="F145" t="s">
        <v>39</v>
      </c>
      <c r="G145">
        <v>18</v>
      </c>
      <c r="H145" t="s">
        <v>252</v>
      </c>
      <c r="I145" t="s">
        <v>319</v>
      </c>
      <c r="J145">
        <v>808950</v>
      </c>
      <c r="K145" t="s">
        <v>54</v>
      </c>
      <c r="L145" s="1">
        <v>42432.265972222223</v>
      </c>
      <c r="M145" s="1">
        <v>42432</v>
      </c>
      <c r="N145" s="3">
        <f>INT(BrightTV_JoinedTablesnw_2026_04_16_23_55_09[[#This Row],[Viewership.RecordDate22]])</f>
        <v>42432</v>
      </c>
      <c r="O145" s="2">
        <v>0.26597222222222222</v>
      </c>
      <c r="P145" t="s">
        <v>323</v>
      </c>
      <c r="Q145">
        <v>808950</v>
      </c>
      <c r="R145" t="s">
        <v>20</v>
      </c>
    </row>
    <row r="146" spans="1:18" x14ac:dyDescent="0.25">
      <c r="A146">
        <v>808950</v>
      </c>
      <c r="B146" t="s">
        <v>317</v>
      </c>
      <c r="C146" t="s">
        <v>104</v>
      </c>
      <c r="D146" t="s">
        <v>318</v>
      </c>
      <c r="E146" t="s">
        <v>38</v>
      </c>
      <c r="F146" t="s">
        <v>39</v>
      </c>
      <c r="G146">
        <v>18</v>
      </c>
      <c r="H146" t="s">
        <v>252</v>
      </c>
      <c r="I146" t="s">
        <v>319</v>
      </c>
      <c r="J146">
        <v>808950</v>
      </c>
      <c r="K146" t="s">
        <v>54</v>
      </c>
      <c r="L146" s="1">
        <v>42456.525694444441</v>
      </c>
      <c r="M146" s="1">
        <v>42456</v>
      </c>
      <c r="N146" s="3">
        <f>INT(BrightTV_JoinedTablesnw_2026_04_16_23_55_09[[#This Row],[Viewership.RecordDate22]])</f>
        <v>42456</v>
      </c>
      <c r="O146" s="2">
        <v>0.52569444444444446</v>
      </c>
      <c r="P146" t="s">
        <v>324</v>
      </c>
      <c r="Q146">
        <v>808950</v>
      </c>
      <c r="R146" t="s">
        <v>20</v>
      </c>
    </row>
    <row r="147" spans="1:18" x14ac:dyDescent="0.25">
      <c r="A147">
        <v>771823</v>
      </c>
      <c r="B147" t="s">
        <v>325</v>
      </c>
      <c r="C147" t="s">
        <v>166</v>
      </c>
      <c r="D147" t="s">
        <v>326</v>
      </c>
      <c r="E147" t="s">
        <v>38</v>
      </c>
      <c r="F147" t="s">
        <v>39</v>
      </c>
      <c r="G147">
        <v>26</v>
      </c>
      <c r="H147" t="s">
        <v>60</v>
      </c>
      <c r="I147" t="s">
        <v>327</v>
      </c>
      <c r="J147">
        <v>771823</v>
      </c>
      <c r="K147" t="s">
        <v>32</v>
      </c>
      <c r="L147" s="1">
        <v>42406.548611111109</v>
      </c>
      <c r="M147" s="1">
        <v>42406</v>
      </c>
      <c r="N147" s="3">
        <f>INT(BrightTV_JoinedTablesnw_2026_04_16_23_55_09[[#This Row],[Viewership.RecordDate22]])</f>
        <v>42406</v>
      </c>
      <c r="O147" s="2">
        <v>0.54861111111111116</v>
      </c>
      <c r="P147" t="s">
        <v>303</v>
      </c>
      <c r="Q147">
        <v>771823</v>
      </c>
      <c r="R147" t="s">
        <v>20</v>
      </c>
    </row>
    <row r="148" spans="1:18" x14ac:dyDescent="0.25">
      <c r="A148">
        <v>779410</v>
      </c>
      <c r="B148" t="s">
        <v>328</v>
      </c>
      <c r="C148" t="s">
        <v>104</v>
      </c>
      <c r="D148" t="s">
        <v>329</v>
      </c>
      <c r="E148" t="s">
        <v>24</v>
      </c>
      <c r="F148" t="s">
        <v>96</v>
      </c>
      <c r="G148">
        <v>26</v>
      </c>
      <c r="H148" t="s">
        <v>40</v>
      </c>
      <c r="I148" t="s">
        <v>330</v>
      </c>
      <c r="J148">
        <v>779410</v>
      </c>
      <c r="K148" t="s">
        <v>84</v>
      </c>
      <c r="L148" s="1">
        <v>42390.804861111108</v>
      </c>
      <c r="M148" s="1">
        <v>42390</v>
      </c>
      <c r="N148" s="3">
        <f>INT(BrightTV_JoinedTablesnw_2026_04_16_23_55_09[[#This Row],[Viewership.RecordDate22]])</f>
        <v>42390</v>
      </c>
      <c r="O148" s="2">
        <v>0.80486111111111114</v>
      </c>
      <c r="P148" t="s">
        <v>331</v>
      </c>
      <c r="Q148">
        <v>779410</v>
      </c>
      <c r="R148" t="s">
        <v>20</v>
      </c>
    </row>
    <row r="149" spans="1:18" x14ac:dyDescent="0.25">
      <c r="A149">
        <v>779410</v>
      </c>
      <c r="B149" t="s">
        <v>328</v>
      </c>
      <c r="C149" t="s">
        <v>104</v>
      </c>
      <c r="D149" t="s">
        <v>329</v>
      </c>
      <c r="E149" t="s">
        <v>24</v>
      </c>
      <c r="F149" t="s">
        <v>96</v>
      </c>
      <c r="G149">
        <v>26</v>
      </c>
      <c r="H149" t="s">
        <v>40</v>
      </c>
      <c r="I149" t="s">
        <v>330</v>
      </c>
      <c r="J149">
        <v>779410</v>
      </c>
      <c r="K149" t="s">
        <v>77</v>
      </c>
      <c r="L149" s="1">
        <v>42403.586111111108</v>
      </c>
      <c r="M149" s="1">
        <v>42403</v>
      </c>
      <c r="N149" s="3">
        <f>INT(BrightTV_JoinedTablesnw_2026_04_16_23_55_09[[#This Row],[Viewership.RecordDate22]])</f>
        <v>42403</v>
      </c>
      <c r="O149" s="2">
        <v>0.58611111111111114</v>
      </c>
      <c r="P149" t="s">
        <v>332</v>
      </c>
      <c r="Q149">
        <v>779410</v>
      </c>
      <c r="R149" t="s">
        <v>20</v>
      </c>
    </row>
    <row r="150" spans="1:18" x14ac:dyDescent="0.25">
      <c r="A150">
        <v>771830</v>
      </c>
      <c r="B150" t="s">
        <v>267</v>
      </c>
      <c r="C150" t="s">
        <v>333</v>
      </c>
      <c r="D150" t="s">
        <v>334</v>
      </c>
      <c r="E150" t="s">
        <v>38</v>
      </c>
      <c r="F150" t="s">
        <v>39</v>
      </c>
      <c r="G150">
        <v>49</v>
      </c>
      <c r="H150" t="s">
        <v>40</v>
      </c>
      <c r="I150" t="s">
        <v>269</v>
      </c>
      <c r="J150">
        <v>771830</v>
      </c>
      <c r="K150" t="s">
        <v>77</v>
      </c>
      <c r="L150" s="1">
        <v>42370.696527777778</v>
      </c>
      <c r="M150" s="1">
        <v>42370</v>
      </c>
      <c r="N150" s="3">
        <f>INT(BrightTV_JoinedTablesnw_2026_04_16_23_55_09[[#This Row],[Viewership.RecordDate22]])</f>
        <v>42370</v>
      </c>
      <c r="O150" s="2">
        <v>0.69652777777777775</v>
      </c>
      <c r="P150" t="s">
        <v>335</v>
      </c>
      <c r="Q150">
        <v>771830</v>
      </c>
      <c r="R150" t="s">
        <v>20</v>
      </c>
    </row>
    <row r="151" spans="1:18" x14ac:dyDescent="0.25">
      <c r="A151">
        <v>507286</v>
      </c>
      <c r="B151" t="s">
        <v>328</v>
      </c>
      <c r="C151" t="s">
        <v>104</v>
      </c>
      <c r="D151" t="s">
        <v>336</v>
      </c>
      <c r="E151" t="s">
        <v>24</v>
      </c>
      <c r="F151" t="s">
        <v>16</v>
      </c>
      <c r="G151">
        <v>11</v>
      </c>
      <c r="H151" t="s">
        <v>26</v>
      </c>
      <c r="I151" t="s">
        <v>337</v>
      </c>
      <c r="J151">
        <v>507286</v>
      </c>
      <c r="K151" t="s">
        <v>77</v>
      </c>
      <c r="L151" s="1">
        <v>42371.749305555553</v>
      </c>
      <c r="M151" s="1">
        <v>42371</v>
      </c>
      <c r="N151" s="3">
        <f>INT(BrightTV_JoinedTablesnw_2026_04_16_23_55_09[[#This Row],[Viewership.RecordDate22]])</f>
        <v>42371</v>
      </c>
      <c r="O151" s="2">
        <v>0.74930555555555556</v>
      </c>
      <c r="P151" t="s">
        <v>338</v>
      </c>
      <c r="Q151">
        <v>507286</v>
      </c>
      <c r="R151" t="s">
        <v>20</v>
      </c>
    </row>
    <row r="152" spans="1:18" x14ac:dyDescent="0.25">
      <c r="A152">
        <v>507286</v>
      </c>
      <c r="B152" t="s">
        <v>328</v>
      </c>
      <c r="C152" t="s">
        <v>104</v>
      </c>
      <c r="D152" t="s">
        <v>336</v>
      </c>
      <c r="E152" t="s">
        <v>24</v>
      </c>
      <c r="F152" t="s">
        <v>16</v>
      </c>
      <c r="G152">
        <v>11</v>
      </c>
      <c r="H152" t="s">
        <v>26</v>
      </c>
      <c r="I152" t="s">
        <v>337</v>
      </c>
      <c r="J152">
        <v>507286</v>
      </c>
      <c r="K152" t="s">
        <v>84</v>
      </c>
      <c r="L152" s="1">
        <v>42373.792361111111</v>
      </c>
      <c r="M152" s="1">
        <v>42373</v>
      </c>
      <c r="N152" s="3">
        <f>INT(BrightTV_JoinedTablesnw_2026_04_16_23_55_09[[#This Row],[Viewership.RecordDate22]])</f>
        <v>42373</v>
      </c>
      <c r="O152" s="2">
        <v>0.79236111111111107</v>
      </c>
      <c r="P152" t="s">
        <v>339</v>
      </c>
      <c r="Q152">
        <v>507286</v>
      </c>
      <c r="R152" t="s">
        <v>20</v>
      </c>
    </row>
    <row r="153" spans="1:18" x14ac:dyDescent="0.25">
      <c r="A153">
        <v>507286</v>
      </c>
      <c r="B153" t="s">
        <v>328</v>
      </c>
      <c r="C153" t="s">
        <v>104</v>
      </c>
      <c r="D153" t="s">
        <v>336</v>
      </c>
      <c r="E153" t="s">
        <v>24</v>
      </c>
      <c r="F153" t="s">
        <v>16</v>
      </c>
      <c r="G153">
        <v>11</v>
      </c>
      <c r="H153" t="s">
        <v>26</v>
      </c>
      <c r="I153" t="s">
        <v>337</v>
      </c>
      <c r="J153">
        <v>507286</v>
      </c>
      <c r="K153" t="s">
        <v>30</v>
      </c>
      <c r="L153" s="1">
        <v>42373.396527777775</v>
      </c>
      <c r="M153" s="1">
        <v>42373</v>
      </c>
      <c r="N153" s="3">
        <f>INT(BrightTV_JoinedTablesnw_2026_04_16_23_55_09[[#This Row],[Viewership.RecordDate22]])</f>
        <v>42373</v>
      </c>
      <c r="O153" s="2">
        <v>0.39652777777777776</v>
      </c>
      <c r="P153" t="s">
        <v>340</v>
      </c>
      <c r="Q153">
        <v>507286</v>
      </c>
      <c r="R153" t="s">
        <v>20</v>
      </c>
    </row>
    <row r="154" spans="1:18" x14ac:dyDescent="0.25">
      <c r="A154">
        <v>507286</v>
      </c>
      <c r="B154" t="s">
        <v>328</v>
      </c>
      <c r="C154" t="s">
        <v>104</v>
      </c>
      <c r="D154" t="s">
        <v>336</v>
      </c>
      <c r="E154" t="s">
        <v>24</v>
      </c>
      <c r="F154" t="s">
        <v>16</v>
      </c>
      <c r="G154">
        <v>11</v>
      </c>
      <c r="H154" t="s">
        <v>26</v>
      </c>
      <c r="I154" t="s">
        <v>337</v>
      </c>
      <c r="J154">
        <v>507286</v>
      </c>
      <c r="K154" t="s">
        <v>84</v>
      </c>
      <c r="L154" s="1">
        <v>42373.51458333333</v>
      </c>
      <c r="M154" s="1">
        <v>42373</v>
      </c>
      <c r="N154" s="3">
        <f>INT(BrightTV_JoinedTablesnw_2026_04_16_23_55_09[[#This Row],[Viewership.RecordDate22]])</f>
        <v>42373</v>
      </c>
      <c r="O154" s="2">
        <v>0.51458333333333328</v>
      </c>
      <c r="P154" t="s">
        <v>341</v>
      </c>
      <c r="Q154">
        <v>507286</v>
      </c>
      <c r="R154" t="s">
        <v>20</v>
      </c>
    </row>
    <row r="155" spans="1:18" x14ac:dyDescent="0.25">
      <c r="A155">
        <v>507286</v>
      </c>
      <c r="B155" t="s">
        <v>328</v>
      </c>
      <c r="C155" t="s">
        <v>104</v>
      </c>
      <c r="D155" t="s">
        <v>336</v>
      </c>
      <c r="E155" t="s">
        <v>24</v>
      </c>
      <c r="F155" t="s">
        <v>16</v>
      </c>
      <c r="G155">
        <v>11</v>
      </c>
      <c r="H155" t="s">
        <v>26</v>
      </c>
      <c r="I155" t="s">
        <v>337</v>
      </c>
      <c r="J155">
        <v>507286</v>
      </c>
      <c r="K155" t="s">
        <v>169</v>
      </c>
      <c r="L155" s="1">
        <v>42370.313888888886</v>
      </c>
      <c r="M155" s="1">
        <v>42370</v>
      </c>
      <c r="N155" s="3">
        <f>INT(BrightTV_JoinedTablesnw_2026_04_16_23_55_09[[#This Row],[Viewership.RecordDate22]])</f>
        <v>42370</v>
      </c>
      <c r="O155" s="2">
        <v>0.31388888888888888</v>
      </c>
      <c r="P155" t="s">
        <v>321</v>
      </c>
      <c r="Q155">
        <v>507286</v>
      </c>
      <c r="R155" t="s">
        <v>20</v>
      </c>
    </row>
    <row r="156" spans="1:18" x14ac:dyDescent="0.25">
      <c r="A156">
        <v>507286</v>
      </c>
      <c r="B156" t="s">
        <v>328</v>
      </c>
      <c r="C156" t="s">
        <v>104</v>
      </c>
      <c r="D156" t="s">
        <v>336</v>
      </c>
      <c r="E156" t="s">
        <v>24</v>
      </c>
      <c r="F156" t="s">
        <v>16</v>
      </c>
      <c r="G156">
        <v>11</v>
      </c>
      <c r="H156" t="s">
        <v>26</v>
      </c>
      <c r="I156" t="s">
        <v>337</v>
      </c>
      <c r="J156">
        <v>507286</v>
      </c>
      <c r="K156" t="s">
        <v>30</v>
      </c>
      <c r="L156" s="1">
        <v>42372.708333333336</v>
      </c>
      <c r="M156" s="1">
        <v>42372</v>
      </c>
      <c r="N156" s="3">
        <f>INT(BrightTV_JoinedTablesnw_2026_04_16_23_55_09[[#This Row],[Viewership.RecordDate22]])</f>
        <v>42372</v>
      </c>
      <c r="O156" s="2">
        <v>0.70833333333333337</v>
      </c>
      <c r="P156" t="s">
        <v>342</v>
      </c>
      <c r="Q156">
        <v>507286</v>
      </c>
      <c r="R156" t="s">
        <v>20</v>
      </c>
    </row>
    <row r="157" spans="1:18" x14ac:dyDescent="0.25">
      <c r="A157">
        <v>18031</v>
      </c>
      <c r="B157" t="s">
        <v>343</v>
      </c>
      <c r="C157" t="s">
        <v>344</v>
      </c>
      <c r="D157" t="s">
        <v>345</v>
      </c>
      <c r="E157" t="s">
        <v>24</v>
      </c>
      <c r="F157" t="s">
        <v>39</v>
      </c>
      <c r="G157">
        <v>37</v>
      </c>
      <c r="H157" t="s">
        <v>40</v>
      </c>
      <c r="I157" t="s">
        <v>346</v>
      </c>
      <c r="J157">
        <v>18031</v>
      </c>
      <c r="K157" t="s">
        <v>47</v>
      </c>
      <c r="L157" s="1">
        <v>42397.867361111108</v>
      </c>
      <c r="M157" s="1">
        <v>42397</v>
      </c>
      <c r="N157" s="3">
        <f>INT(BrightTV_JoinedTablesnw_2026_04_16_23_55_09[[#This Row],[Viewership.RecordDate22]])</f>
        <v>42397</v>
      </c>
      <c r="O157" s="2">
        <v>0.86736111111111114</v>
      </c>
      <c r="P157" t="s">
        <v>200</v>
      </c>
      <c r="Q157">
        <v>18031</v>
      </c>
      <c r="R157" t="s">
        <v>20</v>
      </c>
    </row>
    <row r="158" spans="1:18" x14ac:dyDescent="0.25">
      <c r="A158">
        <v>18031</v>
      </c>
      <c r="B158" t="s">
        <v>343</v>
      </c>
      <c r="C158" t="s">
        <v>344</v>
      </c>
      <c r="D158" t="s">
        <v>345</v>
      </c>
      <c r="E158" t="s">
        <v>24</v>
      </c>
      <c r="F158" t="s">
        <v>39</v>
      </c>
      <c r="G158">
        <v>37</v>
      </c>
      <c r="H158" t="s">
        <v>40</v>
      </c>
      <c r="I158" t="s">
        <v>346</v>
      </c>
      <c r="J158">
        <v>18031</v>
      </c>
      <c r="K158" t="s">
        <v>169</v>
      </c>
      <c r="L158" s="1">
        <v>42376.041666666664</v>
      </c>
      <c r="M158" s="1">
        <v>42376</v>
      </c>
      <c r="N158" s="3">
        <f>INT(BrightTV_JoinedTablesnw_2026_04_16_23_55_09[[#This Row],[Viewership.RecordDate22]])</f>
        <v>42376</v>
      </c>
      <c r="O158" s="2">
        <v>4.1666666666666664E-2</v>
      </c>
      <c r="P158" t="s">
        <v>347</v>
      </c>
      <c r="Q158">
        <v>18031</v>
      </c>
      <c r="R158" t="s">
        <v>20</v>
      </c>
    </row>
    <row r="159" spans="1:18" x14ac:dyDescent="0.25">
      <c r="A159">
        <v>808958</v>
      </c>
      <c r="B159" t="s">
        <v>154</v>
      </c>
      <c r="C159" t="s">
        <v>202</v>
      </c>
      <c r="D159" t="s">
        <v>348</v>
      </c>
      <c r="E159" t="s">
        <v>38</v>
      </c>
      <c r="F159" t="s">
        <v>39</v>
      </c>
      <c r="G159">
        <v>25</v>
      </c>
      <c r="H159" t="s">
        <v>40</v>
      </c>
      <c r="I159" t="s">
        <v>157</v>
      </c>
      <c r="J159">
        <v>808958</v>
      </c>
      <c r="K159" t="s">
        <v>54</v>
      </c>
      <c r="L159" s="1">
        <v>42421.800694444442</v>
      </c>
      <c r="M159" s="1">
        <v>42421</v>
      </c>
      <c r="N159" s="3">
        <f>INT(BrightTV_JoinedTablesnw_2026_04_16_23_55_09[[#This Row],[Viewership.RecordDate22]])</f>
        <v>42421</v>
      </c>
      <c r="O159" s="2">
        <v>0.80069444444444449</v>
      </c>
      <c r="P159" t="s">
        <v>349</v>
      </c>
      <c r="Q159">
        <v>808958</v>
      </c>
      <c r="R159" t="s">
        <v>20</v>
      </c>
    </row>
    <row r="160" spans="1:18" x14ac:dyDescent="0.25">
      <c r="A160">
        <v>808958</v>
      </c>
      <c r="B160" t="s">
        <v>154</v>
      </c>
      <c r="C160" t="s">
        <v>202</v>
      </c>
      <c r="D160" t="s">
        <v>348</v>
      </c>
      <c r="E160" t="s">
        <v>38</v>
      </c>
      <c r="F160" t="s">
        <v>39</v>
      </c>
      <c r="G160">
        <v>25</v>
      </c>
      <c r="H160" t="s">
        <v>40</v>
      </c>
      <c r="I160" t="s">
        <v>157</v>
      </c>
      <c r="J160">
        <v>808958</v>
      </c>
      <c r="K160" t="s">
        <v>77</v>
      </c>
      <c r="L160" s="1">
        <v>42420.643055555556</v>
      </c>
      <c r="M160" s="1">
        <v>42420</v>
      </c>
      <c r="N160" s="3">
        <f>INT(BrightTV_JoinedTablesnw_2026_04_16_23_55_09[[#This Row],[Viewership.RecordDate22]])</f>
        <v>42420</v>
      </c>
      <c r="O160" s="2">
        <v>0.6430555555555556</v>
      </c>
      <c r="P160" t="s">
        <v>301</v>
      </c>
      <c r="Q160">
        <v>808958</v>
      </c>
      <c r="R160" t="s">
        <v>20</v>
      </c>
    </row>
    <row r="161" spans="1:18" x14ac:dyDescent="0.25">
      <c r="A161">
        <v>808958</v>
      </c>
      <c r="B161" t="s">
        <v>154</v>
      </c>
      <c r="C161" t="s">
        <v>202</v>
      </c>
      <c r="D161" t="s">
        <v>348</v>
      </c>
      <c r="E161" t="s">
        <v>38</v>
      </c>
      <c r="F161" t="s">
        <v>39</v>
      </c>
      <c r="G161">
        <v>25</v>
      </c>
      <c r="H161" t="s">
        <v>40</v>
      </c>
      <c r="I161" t="s">
        <v>157</v>
      </c>
      <c r="J161">
        <v>808958</v>
      </c>
      <c r="K161" t="s">
        <v>32</v>
      </c>
      <c r="L161" s="1">
        <v>42420.801388888889</v>
      </c>
      <c r="M161" s="1">
        <v>42420</v>
      </c>
      <c r="N161" s="3">
        <f>INT(BrightTV_JoinedTablesnw_2026_04_16_23_55_09[[#This Row],[Viewership.RecordDate22]])</f>
        <v>42420</v>
      </c>
      <c r="O161" s="2">
        <v>0.80138888888888893</v>
      </c>
      <c r="P161" t="s">
        <v>275</v>
      </c>
      <c r="Q161">
        <v>808958</v>
      </c>
      <c r="R161" t="s">
        <v>20</v>
      </c>
    </row>
    <row r="162" spans="1:18" x14ac:dyDescent="0.25">
      <c r="A162">
        <v>808958</v>
      </c>
      <c r="B162" t="s">
        <v>154</v>
      </c>
      <c r="C162" t="s">
        <v>202</v>
      </c>
      <c r="D162" t="s">
        <v>348</v>
      </c>
      <c r="E162" t="s">
        <v>38</v>
      </c>
      <c r="F162" t="s">
        <v>39</v>
      </c>
      <c r="G162">
        <v>25</v>
      </c>
      <c r="H162" t="s">
        <v>40</v>
      </c>
      <c r="I162" t="s">
        <v>157</v>
      </c>
      <c r="J162">
        <v>808958</v>
      </c>
      <c r="K162" t="s">
        <v>30</v>
      </c>
      <c r="L162" s="1">
        <v>42431.465277777781</v>
      </c>
      <c r="M162" s="1">
        <v>42431</v>
      </c>
      <c r="N162" s="3">
        <f>INT(BrightTV_JoinedTablesnw_2026_04_16_23_55_09[[#This Row],[Viewership.RecordDate22]])</f>
        <v>42431</v>
      </c>
      <c r="O162" s="2">
        <v>0.46527777777777779</v>
      </c>
      <c r="P162" t="s">
        <v>350</v>
      </c>
      <c r="Q162">
        <v>808958</v>
      </c>
      <c r="R162" t="s">
        <v>20</v>
      </c>
    </row>
    <row r="163" spans="1:18" x14ac:dyDescent="0.25">
      <c r="A163">
        <v>808958</v>
      </c>
      <c r="B163" t="s">
        <v>154</v>
      </c>
      <c r="C163" t="s">
        <v>202</v>
      </c>
      <c r="D163" t="s">
        <v>348</v>
      </c>
      <c r="E163" t="s">
        <v>38</v>
      </c>
      <c r="F163" t="s">
        <v>39</v>
      </c>
      <c r="G163">
        <v>25</v>
      </c>
      <c r="H163" t="s">
        <v>40</v>
      </c>
      <c r="I163" t="s">
        <v>157</v>
      </c>
      <c r="J163">
        <v>808958</v>
      </c>
      <c r="K163" t="s">
        <v>84</v>
      </c>
      <c r="L163" s="1">
        <v>42421.663888888892</v>
      </c>
      <c r="M163" s="1">
        <v>42421</v>
      </c>
      <c r="N163" s="3">
        <f>INT(BrightTV_JoinedTablesnw_2026_04_16_23_55_09[[#This Row],[Viewership.RecordDate22]])</f>
        <v>42421</v>
      </c>
      <c r="O163" s="2">
        <v>0.66388888888888886</v>
      </c>
      <c r="P163" t="s">
        <v>351</v>
      </c>
      <c r="Q163">
        <v>808958</v>
      </c>
      <c r="R163" t="s">
        <v>20</v>
      </c>
    </row>
    <row r="164" spans="1:18" x14ac:dyDescent="0.25">
      <c r="A164">
        <v>808958</v>
      </c>
      <c r="B164" t="s">
        <v>154</v>
      </c>
      <c r="C164" t="s">
        <v>202</v>
      </c>
      <c r="D164" t="s">
        <v>348</v>
      </c>
      <c r="E164" t="s">
        <v>38</v>
      </c>
      <c r="F164" t="s">
        <v>39</v>
      </c>
      <c r="G164">
        <v>25</v>
      </c>
      <c r="H164" t="s">
        <v>40</v>
      </c>
      <c r="I164" t="s">
        <v>157</v>
      </c>
      <c r="J164">
        <v>808958</v>
      </c>
      <c r="K164" t="s">
        <v>77</v>
      </c>
      <c r="L164" s="1">
        <v>42424.847916666666</v>
      </c>
      <c r="M164" s="1">
        <v>42424</v>
      </c>
      <c r="N164" s="3">
        <f>INT(BrightTV_JoinedTablesnw_2026_04_16_23_55_09[[#This Row],[Viewership.RecordDate22]])</f>
        <v>42424</v>
      </c>
      <c r="O164" s="2">
        <v>0.84791666666666665</v>
      </c>
      <c r="P164" t="s">
        <v>352</v>
      </c>
      <c r="Q164">
        <v>808958</v>
      </c>
      <c r="R164" t="s">
        <v>20</v>
      </c>
    </row>
    <row r="165" spans="1:18" x14ac:dyDescent="0.25">
      <c r="A165">
        <v>808958</v>
      </c>
      <c r="B165" t="s">
        <v>154</v>
      </c>
      <c r="C165" t="s">
        <v>202</v>
      </c>
      <c r="D165" t="s">
        <v>348</v>
      </c>
      <c r="E165" t="s">
        <v>38</v>
      </c>
      <c r="F165" t="s">
        <v>39</v>
      </c>
      <c r="G165">
        <v>25</v>
      </c>
      <c r="H165" t="s">
        <v>40</v>
      </c>
      <c r="I165" t="s">
        <v>157</v>
      </c>
      <c r="J165">
        <v>808958</v>
      </c>
      <c r="K165" t="s">
        <v>84</v>
      </c>
      <c r="L165" s="1">
        <v>42424.526388888888</v>
      </c>
      <c r="M165" s="1">
        <v>42424</v>
      </c>
      <c r="N165" s="3">
        <f>INT(BrightTV_JoinedTablesnw_2026_04_16_23_55_09[[#This Row],[Viewership.RecordDate22]])</f>
        <v>42424</v>
      </c>
      <c r="O165" s="2">
        <v>0.52638888888888891</v>
      </c>
      <c r="P165" t="s">
        <v>287</v>
      </c>
      <c r="Q165">
        <v>808958</v>
      </c>
      <c r="R165" t="s">
        <v>20</v>
      </c>
    </row>
    <row r="166" spans="1:18" x14ac:dyDescent="0.25">
      <c r="A166">
        <v>808958</v>
      </c>
      <c r="B166" t="s">
        <v>154</v>
      </c>
      <c r="C166" t="s">
        <v>202</v>
      </c>
      <c r="D166" t="s">
        <v>348</v>
      </c>
      <c r="E166" t="s">
        <v>38</v>
      </c>
      <c r="F166" t="s">
        <v>39</v>
      </c>
      <c r="G166">
        <v>25</v>
      </c>
      <c r="H166" t="s">
        <v>40</v>
      </c>
      <c r="I166" t="s">
        <v>157</v>
      </c>
      <c r="J166">
        <v>808958</v>
      </c>
      <c r="K166" t="s">
        <v>30</v>
      </c>
      <c r="L166" s="1">
        <v>42430.867361111108</v>
      </c>
      <c r="M166" s="1">
        <v>42430</v>
      </c>
      <c r="N166" s="3">
        <f>INT(BrightTV_JoinedTablesnw_2026_04_16_23_55_09[[#This Row],[Viewership.RecordDate22]])</f>
        <v>42430</v>
      </c>
      <c r="O166" s="2">
        <v>0.86736111111111114</v>
      </c>
      <c r="P166" t="s">
        <v>353</v>
      </c>
      <c r="Q166">
        <v>808958</v>
      </c>
      <c r="R166" t="s">
        <v>20</v>
      </c>
    </row>
    <row r="167" spans="1:18" x14ac:dyDescent="0.25">
      <c r="A167">
        <v>793616</v>
      </c>
      <c r="B167" t="s">
        <v>267</v>
      </c>
      <c r="C167" t="s">
        <v>276</v>
      </c>
      <c r="D167" t="s">
        <v>354</v>
      </c>
      <c r="E167" t="s">
        <v>38</v>
      </c>
      <c r="F167" t="s">
        <v>25</v>
      </c>
      <c r="G167">
        <v>29</v>
      </c>
      <c r="H167" t="s">
        <v>40</v>
      </c>
      <c r="I167" t="s">
        <v>269</v>
      </c>
      <c r="J167">
        <v>793616</v>
      </c>
      <c r="K167" t="s">
        <v>169</v>
      </c>
      <c r="L167" s="1">
        <v>42394.257638888892</v>
      </c>
      <c r="M167" s="1">
        <v>42394</v>
      </c>
      <c r="N167" s="3">
        <f>INT(BrightTV_JoinedTablesnw_2026_04_16_23_55_09[[#This Row],[Viewership.RecordDate22]])</f>
        <v>42394</v>
      </c>
      <c r="O167" s="2">
        <v>0.25763888888888886</v>
      </c>
      <c r="P167" t="s">
        <v>339</v>
      </c>
      <c r="Q167">
        <v>793616</v>
      </c>
      <c r="R167" t="s">
        <v>20</v>
      </c>
    </row>
    <row r="168" spans="1:18" x14ac:dyDescent="0.25">
      <c r="A168">
        <v>793616</v>
      </c>
      <c r="B168" t="s">
        <v>267</v>
      </c>
      <c r="C168" t="s">
        <v>276</v>
      </c>
      <c r="D168" t="s">
        <v>354</v>
      </c>
      <c r="E168" t="s">
        <v>38</v>
      </c>
      <c r="F168" t="s">
        <v>25</v>
      </c>
      <c r="G168">
        <v>29</v>
      </c>
      <c r="H168" t="s">
        <v>40</v>
      </c>
      <c r="I168" t="s">
        <v>269</v>
      </c>
      <c r="J168">
        <v>793616</v>
      </c>
      <c r="K168" t="s">
        <v>129</v>
      </c>
      <c r="L168" s="1">
        <v>42393.677777777775</v>
      </c>
      <c r="M168" s="1">
        <v>42393</v>
      </c>
      <c r="N168" s="3">
        <f>INT(BrightTV_JoinedTablesnw_2026_04_16_23_55_09[[#This Row],[Viewership.RecordDate22]])</f>
        <v>42393</v>
      </c>
      <c r="O168" s="2">
        <v>0.67777777777777781</v>
      </c>
      <c r="P168" t="s">
        <v>355</v>
      </c>
      <c r="Q168">
        <v>793616</v>
      </c>
      <c r="R168" t="s">
        <v>20</v>
      </c>
    </row>
    <row r="169" spans="1:18" x14ac:dyDescent="0.25">
      <c r="A169">
        <v>764342</v>
      </c>
      <c r="B169" t="s">
        <v>223</v>
      </c>
      <c r="C169" t="s">
        <v>87</v>
      </c>
      <c r="D169" t="s">
        <v>279</v>
      </c>
      <c r="E169" t="s">
        <v>38</v>
      </c>
      <c r="F169" t="s">
        <v>25</v>
      </c>
      <c r="G169">
        <v>38</v>
      </c>
      <c r="H169" t="s">
        <v>26</v>
      </c>
      <c r="I169" t="s">
        <v>226</v>
      </c>
      <c r="J169">
        <v>764342</v>
      </c>
      <c r="K169" t="s">
        <v>54</v>
      </c>
      <c r="L169" s="1">
        <v>42402.34097222222</v>
      </c>
      <c r="M169" s="1">
        <v>42402</v>
      </c>
      <c r="N169" s="3">
        <f>INT(BrightTV_JoinedTablesnw_2026_04_16_23_55_09[[#This Row],[Viewership.RecordDate22]])</f>
        <v>42402</v>
      </c>
      <c r="O169" s="2">
        <v>0.34097222222222223</v>
      </c>
      <c r="P169" t="s">
        <v>356</v>
      </c>
      <c r="Q169">
        <v>764342</v>
      </c>
      <c r="R169" t="s">
        <v>20</v>
      </c>
    </row>
    <row r="170" spans="1:18" x14ac:dyDescent="0.25">
      <c r="A170">
        <v>808961</v>
      </c>
      <c r="B170" t="s">
        <v>154</v>
      </c>
      <c r="C170" t="s">
        <v>357</v>
      </c>
      <c r="D170" t="s">
        <v>358</v>
      </c>
      <c r="E170" t="s">
        <v>38</v>
      </c>
      <c r="F170" t="s">
        <v>106</v>
      </c>
      <c r="G170">
        <v>27</v>
      </c>
      <c r="H170" t="s">
        <v>40</v>
      </c>
      <c r="I170" t="s">
        <v>157</v>
      </c>
      <c r="J170">
        <v>808961</v>
      </c>
      <c r="K170" t="s">
        <v>30</v>
      </c>
      <c r="L170" s="1">
        <v>42420.160416666666</v>
      </c>
      <c r="M170" s="1">
        <v>42420</v>
      </c>
      <c r="N170" s="3">
        <f>INT(BrightTV_JoinedTablesnw_2026_04_16_23_55_09[[#This Row],[Viewership.RecordDate22]])</f>
        <v>42420</v>
      </c>
      <c r="O170" s="2">
        <v>0.16041666666666668</v>
      </c>
      <c r="P170" t="s">
        <v>359</v>
      </c>
      <c r="Q170">
        <v>808961</v>
      </c>
      <c r="R170" t="s">
        <v>20</v>
      </c>
    </row>
    <row r="171" spans="1:18" x14ac:dyDescent="0.25">
      <c r="A171">
        <v>808961</v>
      </c>
      <c r="B171" t="s">
        <v>154</v>
      </c>
      <c r="C171" t="s">
        <v>357</v>
      </c>
      <c r="D171" t="s">
        <v>358</v>
      </c>
      <c r="E171" t="s">
        <v>38</v>
      </c>
      <c r="F171" t="s">
        <v>106</v>
      </c>
      <c r="G171">
        <v>27</v>
      </c>
      <c r="H171" t="s">
        <v>40</v>
      </c>
      <c r="I171" t="s">
        <v>157</v>
      </c>
      <c r="J171">
        <v>808961</v>
      </c>
      <c r="K171" t="s">
        <v>30</v>
      </c>
      <c r="L171" s="1">
        <v>42422.76666666667</v>
      </c>
      <c r="M171" s="1">
        <v>42422</v>
      </c>
      <c r="N171" s="3">
        <f>INT(BrightTV_JoinedTablesnw_2026_04_16_23_55_09[[#This Row],[Viewership.RecordDate22]])</f>
        <v>42422</v>
      </c>
      <c r="O171" s="2">
        <v>0.76666666666666672</v>
      </c>
      <c r="P171" t="s">
        <v>360</v>
      </c>
      <c r="Q171">
        <v>808961</v>
      </c>
      <c r="R171" t="s">
        <v>20</v>
      </c>
    </row>
    <row r="172" spans="1:18" x14ac:dyDescent="0.25">
      <c r="A172">
        <v>808965</v>
      </c>
      <c r="B172" t="s">
        <v>43</v>
      </c>
      <c r="C172" t="s">
        <v>361</v>
      </c>
      <c r="D172" t="s">
        <v>362</v>
      </c>
      <c r="E172" t="s">
        <v>38</v>
      </c>
      <c r="F172" t="s">
        <v>96</v>
      </c>
      <c r="G172">
        <v>36</v>
      </c>
      <c r="H172" t="s">
        <v>60</v>
      </c>
      <c r="I172" t="s">
        <v>46</v>
      </c>
      <c r="J172">
        <v>808965</v>
      </c>
      <c r="K172" t="s">
        <v>54</v>
      </c>
      <c r="L172" s="1">
        <v>42418.454861111109</v>
      </c>
      <c r="M172" s="1">
        <v>42418</v>
      </c>
      <c r="N172" s="3">
        <f>INT(BrightTV_JoinedTablesnw_2026_04_16_23_55_09[[#This Row],[Viewership.RecordDate22]])</f>
        <v>42418</v>
      </c>
      <c r="O172" s="2">
        <v>0.4548611111111111</v>
      </c>
      <c r="P172" t="s">
        <v>31</v>
      </c>
      <c r="Q172">
        <v>808965</v>
      </c>
      <c r="R172" t="s">
        <v>20</v>
      </c>
    </row>
    <row r="173" spans="1:18" x14ac:dyDescent="0.25">
      <c r="A173">
        <v>808965</v>
      </c>
      <c r="B173" t="s">
        <v>43</v>
      </c>
      <c r="C173" t="s">
        <v>361</v>
      </c>
      <c r="D173" t="s">
        <v>362</v>
      </c>
      <c r="E173" t="s">
        <v>38</v>
      </c>
      <c r="F173" t="s">
        <v>96</v>
      </c>
      <c r="G173">
        <v>36</v>
      </c>
      <c r="H173" t="s">
        <v>60</v>
      </c>
      <c r="I173" t="s">
        <v>46</v>
      </c>
      <c r="J173">
        <v>808965</v>
      </c>
      <c r="K173" t="s">
        <v>47</v>
      </c>
      <c r="L173" s="1">
        <v>42415.913194444445</v>
      </c>
      <c r="M173" s="1">
        <v>42415</v>
      </c>
      <c r="N173" s="3">
        <f>INT(BrightTV_JoinedTablesnw_2026_04_16_23_55_09[[#This Row],[Viewership.RecordDate22]])</f>
        <v>42415</v>
      </c>
      <c r="O173" s="2">
        <v>0.91319444444444442</v>
      </c>
      <c r="P173" t="s">
        <v>335</v>
      </c>
      <c r="Q173">
        <v>808965</v>
      </c>
      <c r="R173" t="s">
        <v>20</v>
      </c>
    </row>
    <row r="174" spans="1:18" x14ac:dyDescent="0.25">
      <c r="A174">
        <v>808965</v>
      </c>
      <c r="B174" t="s">
        <v>43</v>
      </c>
      <c r="C174" t="s">
        <v>361</v>
      </c>
      <c r="D174" t="s">
        <v>362</v>
      </c>
      <c r="E174" t="s">
        <v>38</v>
      </c>
      <c r="F174" t="s">
        <v>96</v>
      </c>
      <c r="G174">
        <v>36</v>
      </c>
      <c r="H174" t="s">
        <v>60</v>
      </c>
      <c r="I174" t="s">
        <v>46</v>
      </c>
      <c r="J174">
        <v>808965</v>
      </c>
      <c r="K174" t="s">
        <v>18</v>
      </c>
      <c r="L174" s="1">
        <v>42424.593055555553</v>
      </c>
      <c r="M174" s="1">
        <v>42424</v>
      </c>
      <c r="N174" s="3">
        <f>INT(BrightTV_JoinedTablesnw_2026_04_16_23_55_09[[#This Row],[Viewership.RecordDate22]])</f>
        <v>42424</v>
      </c>
      <c r="O174" s="2">
        <v>0.59305555555555556</v>
      </c>
      <c r="P174" t="s">
        <v>363</v>
      </c>
      <c r="Q174">
        <v>808965</v>
      </c>
      <c r="R174" t="s">
        <v>20</v>
      </c>
    </row>
    <row r="175" spans="1:18" x14ac:dyDescent="0.25">
      <c r="A175">
        <v>808965</v>
      </c>
      <c r="B175" t="s">
        <v>43</v>
      </c>
      <c r="C175" t="s">
        <v>361</v>
      </c>
      <c r="D175" t="s">
        <v>362</v>
      </c>
      <c r="E175" t="s">
        <v>38</v>
      </c>
      <c r="F175" t="s">
        <v>96</v>
      </c>
      <c r="G175">
        <v>36</v>
      </c>
      <c r="H175" t="s">
        <v>60</v>
      </c>
      <c r="I175" t="s">
        <v>46</v>
      </c>
      <c r="J175">
        <v>808965</v>
      </c>
      <c r="K175" t="s">
        <v>47</v>
      </c>
      <c r="L175" s="1">
        <v>42418.363888888889</v>
      </c>
      <c r="M175" s="1">
        <v>42418</v>
      </c>
      <c r="N175" s="3">
        <f>INT(BrightTV_JoinedTablesnw_2026_04_16_23_55_09[[#This Row],[Viewership.RecordDate22]])</f>
        <v>42418</v>
      </c>
      <c r="O175" s="2">
        <v>0.36388888888888887</v>
      </c>
      <c r="P175" t="s">
        <v>288</v>
      </c>
      <c r="Q175">
        <v>808965</v>
      </c>
      <c r="R175" t="s">
        <v>20</v>
      </c>
    </row>
    <row r="176" spans="1:18" x14ac:dyDescent="0.25">
      <c r="A176">
        <v>808965</v>
      </c>
      <c r="B176" t="s">
        <v>43</v>
      </c>
      <c r="C176" t="s">
        <v>361</v>
      </c>
      <c r="D176" t="s">
        <v>362</v>
      </c>
      <c r="E176" t="s">
        <v>38</v>
      </c>
      <c r="F176" t="s">
        <v>96</v>
      </c>
      <c r="G176">
        <v>36</v>
      </c>
      <c r="H176" t="s">
        <v>60</v>
      </c>
      <c r="I176" t="s">
        <v>46</v>
      </c>
      <c r="J176">
        <v>808965</v>
      </c>
      <c r="K176" t="s">
        <v>47</v>
      </c>
      <c r="L176" s="1">
        <v>42406.362500000003</v>
      </c>
      <c r="M176" s="1">
        <v>42406</v>
      </c>
      <c r="N176" s="3">
        <f>INT(BrightTV_JoinedTablesnw_2026_04_16_23_55_09[[#This Row],[Viewership.RecordDate22]])</f>
        <v>42406</v>
      </c>
      <c r="O176" s="2">
        <v>0.36249999999999999</v>
      </c>
      <c r="P176" t="s">
        <v>364</v>
      </c>
      <c r="Q176">
        <v>808965</v>
      </c>
      <c r="R176" t="s">
        <v>20</v>
      </c>
    </row>
    <row r="177" spans="1:18" x14ac:dyDescent="0.25">
      <c r="A177">
        <v>808965</v>
      </c>
      <c r="B177" t="s">
        <v>43</v>
      </c>
      <c r="C177" t="s">
        <v>361</v>
      </c>
      <c r="D177" t="s">
        <v>362</v>
      </c>
      <c r="E177" t="s">
        <v>38</v>
      </c>
      <c r="F177" t="s">
        <v>96</v>
      </c>
      <c r="G177">
        <v>36</v>
      </c>
      <c r="H177" t="s">
        <v>60</v>
      </c>
      <c r="I177" t="s">
        <v>46</v>
      </c>
      <c r="J177">
        <v>808965</v>
      </c>
      <c r="K177" t="s">
        <v>18</v>
      </c>
      <c r="L177" s="1">
        <v>42435.469444444447</v>
      </c>
      <c r="M177" s="1">
        <v>42435</v>
      </c>
      <c r="N177" s="3">
        <f>INT(BrightTV_JoinedTablesnw_2026_04_16_23_55_09[[#This Row],[Viewership.RecordDate22]])</f>
        <v>42435</v>
      </c>
      <c r="O177" s="2">
        <v>0.46944444444444444</v>
      </c>
      <c r="P177" t="s">
        <v>365</v>
      </c>
      <c r="Q177">
        <v>808965</v>
      </c>
      <c r="R177" t="s">
        <v>20</v>
      </c>
    </row>
    <row r="178" spans="1:18" x14ac:dyDescent="0.25">
      <c r="A178">
        <v>808965</v>
      </c>
      <c r="B178" t="s">
        <v>43</v>
      </c>
      <c r="C178" t="s">
        <v>361</v>
      </c>
      <c r="D178" t="s">
        <v>362</v>
      </c>
      <c r="E178" t="s">
        <v>38</v>
      </c>
      <c r="F178" t="s">
        <v>96</v>
      </c>
      <c r="G178">
        <v>36</v>
      </c>
      <c r="H178" t="s">
        <v>60</v>
      </c>
      <c r="I178" t="s">
        <v>46</v>
      </c>
      <c r="J178">
        <v>808965</v>
      </c>
      <c r="K178" t="s">
        <v>62</v>
      </c>
      <c r="L178" s="1">
        <v>42409.870833333334</v>
      </c>
      <c r="M178" s="1">
        <v>42409</v>
      </c>
      <c r="N178" s="3">
        <f>INT(BrightTV_JoinedTablesnw_2026_04_16_23_55_09[[#This Row],[Viewership.RecordDate22]])</f>
        <v>42409</v>
      </c>
      <c r="O178" s="2">
        <v>0.87083333333333335</v>
      </c>
      <c r="P178" t="s">
        <v>91</v>
      </c>
      <c r="Q178">
        <v>808965</v>
      </c>
      <c r="R178" t="s">
        <v>20</v>
      </c>
    </row>
    <row r="179" spans="1:18" x14ac:dyDescent="0.25">
      <c r="A179">
        <v>788672</v>
      </c>
      <c r="B179" t="s">
        <v>366</v>
      </c>
      <c r="C179" t="s">
        <v>73</v>
      </c>
      <c r="D179" t="s">
        <v>367</v>
      </c>
      <c r="E179" t="s">
        <v>38</v>
      </c>
      <c r="F179" t="s">
        <v>39</v>
      </c>
      <c r="G179">
        <v>39</v>
      </c>
      <c r="H179" t="s">
        <v>40</v>
      </c>
      <c r="I179" t="s">
        <v>368</v>
      </c>
      <c r="J179">
        <v>788672</v>
      </c>
      <c r="K179" t="s">
        <v>30</v>
      </c>
      <c r="L179" s="1">
        <v>42411.88958333333</v>
      </c>
      <c r="M179" s="1">
        <v>42411</v>
      </c>
      <c r="N179" s="3">
        <f>INT(BrightTV_JoinedTablesnw_2026_04_16_23_55_09[[#This Row],[Viewership.RecordDate22]])</f>
        <v>42411</v>
      </c>
      <c r="O179" s="2">
        <v>0.88958333333333328</v>
      </c>
      <c r="P179" t="s">
        <v>369</v>
      </c>
      <c r="Q179">
        <v>788672</v>
      </c>
      <c r="R179" t="s">
        <v>20</v>
      </c>
    </row>
    <row r="180" spans="1:18" x14ac:dyDescent="0.25">
      <c r="A180">
        <v>788672</v>
      </c>
      <c r="B180" t="s">
        <v>366</v>
      </c>
      <c r="C180" t="s">
        <v>73</v>
      </c>
      <c r="D180" t="s">
        <v>367</v>
      </c>
      <c r="E180" t="s">
        <v>38</v>
      </c>
      <c r="F180" t="s">
        <v>39</v>
      </c>
      <c r="G180">
        <v>39</v>
      </c>
      <c r="H180" t="s">
        <v>40</v>
      </c>
      <c r="I180" t="s">
        <v>368</v>
      </c>
      <c r="J180">
        <v>788672</v>
      </c>
      <c r="K180" t="s">
        <v>129</v>
      </c>
      <c r="L180" s="1">
        <v>42388.728472222225</v>
      </c>
      <c r="M180" s="1">
        <v>42388</v>
      </c>
      <c r="N180" s="3">
        <f>INT(BrightTV_JoinedTablesnw_2026_04_16_23_55_09[[#This Row],[Viewership.RecordDate22]])</f>
        <v>42388</v>
      </c>
      <c r="O180" s="2">
        <v>0.72847222222222219</v>
      </c>
      <c r="P180" t="s">
        <v>71</v>
      </c>
      <c r="Q180">
        <v>788672</v>
      </c>
      <c r="R180" t="s">
        <v>20</v>
      </c>
    </row>
    <row r="181" spans="1:18" x14ac:dyDescent="0.25">
      <c r="A181">
        <v>808966</v>
      </c>
      <c r="B181" t="s">
        <v>103</v>
      </c>
      <c r="C181" t="s">
        <v>22</v>
      </c>
      <c r="D181" t="s">
        <v>370</v>
      </c>
      <c r="E181" t="s">
        <v>38</v>
      </c>
      <c r="F181" t="s">
        <v>39</v>
      </c>
      <c r="G181">
        <v>21</v>
      </c>
      <c r="H181" t="s">
        <v>252</v>
      </c>
      <c r="I181" t="s">
        <v>107</v>
      </c>
      <c r="J181">
        <v>808966</v>
      </c>
      <c r="K181" t="s">
        <v>47</v>
      </c>
      <c r="L181" s="1">
        <v>42442.504166666666</v>
      </c>
      <c r="M181" s="1">
        <v>42442</v>
      </c>
      <c r="N181" s="3">
        <f>INT(BrightTV_JoinedTablesnw_2026_04_16_23_55_09[[#This Row],[Viewership.RecordDate22]])</f>
        <v>42442</v>
      </c>
      <c r="O181" s="2">
        <v>0.50416666666666665</v>
      </c>
      <c r="P181" t="s">
        <v>371</v>
      </c>
      <c r="Q181">
        <v>808966</v>
      </c>
      <c r="R181" t="s">
        <v>20</v>
      </c>
    </row>
    <row r="182" spans="1:18" x14ac:dyDescent="0.25">
      <c r="A182">
        <v>808966</v>
      </c>
      <c r="B182" t="s">
        <v>103</v>
      </c>
      <c r="C182" t="s">
        <v>22</v>
      </c>
      <c r="D182" t="s">
        <v>370</v>
      </c>
      <c r="E182" t="s">
        <v>38</v>
      </c>
      <c r="F182" t="s">
        <v>39</v>
      </c>
      <c r="G182">
        <v>21</v>
      </c>
      <c r="H182" t="s">
        <v>252</v>
      </c>
      <c r="I182" t="s">
        <v>107</v>
      </c>
      <c r="J182">
        <v>808966</v>
      </c>
      <c r="K182" t="s">
        <v>47</v>
      </c>
      <c r="L182" s="1">
        <v>42442.765277777777</v>
      </c>
      <c r="M182" s="1">
        <v>42442</v>
      </c>
      <c r="N182" s="3">
        <f>INT(BrightTV_JoinedTablesnw_2026_04_16_23_55_09[[#This Row],[Viewership.RecordDate22]])</f>
        <v>42442</v>
      </c>
      <c r="O182" s="2">
        <v>0.76527777777777772</v>
      </c>
      <c r="P182" t="s">
        <v>372</v>
      </c>
      <c r="Q182">
        <v>808966</v>
      </c>
      <c r="R182" t="s">
        <v>20</v>
      </c>
    </row>
    <row r="183" spans="1:18" x14ac:dyDescent="0.25">
      <c r="A183">
        <v>808966</v>
      </c>
      <c r="B183" t="s">
        <v>103</v>
      </c>
      <c r="C183" t="s">
        <v>22</v>
      </c>
      <c r="D183" t="s">
        <v>370</v>
      </c>
      <c r="E183" t="s">
        <v>38</v>
      </c>
      <c r="F183" t="s">
        <v>39</v>
      </c>
      <c r="G183">
        <v>21</v>
      </c>
      <c r="H183" t="s">
        <v>252</v>
      </c>
      <c r="I183" t="s">
        <v>107</v>
      </c>
      <c r="J183">
        <v>808966</v>
      </c>
      <c r="K183" t="s">
        <v>47</v>
      </c>
      <c r="L183" s="1">
        <v>42388.936805555553</v>
      </c>
      <c r="M183" s="1">
        <v>42388</v>
      </c>
      <c r="N183" s="3">
        <f>INT(BrightTV_JoinedTablesnw_2026_04_16_23_55_09[[#This Row],[Viewership.RecordDate22]])</f>
        <v>42388</v>
      </c>
      <c r="O183" s="2">
        <v>0.93680555555555556</v>
      </c>
      <c r="P183" t="s">
        <v>373</v>
      </c>
      <c r="Q183">
        <v>808966</v>
      </c>
      <c r="R183" t="s">
        <v>20</v>
      </c>
    </row>
    <row r="184" spans="1:18" x14ac:dyDescent="0.25">
      <c r="A184">
        <v>808966</v>
      </c>
      <c r="B184" t="s">
        <v>103</v>
      </c>
      <c r="C184" t="s">
        <v>22</v>
      </c>
      <c r="D184" t="s">
        <v>370</v>
      </c>
      <c r="E184" t="s">
        <v>38</v>
      </c>
      <c r="F184" t="s">
        <v>39</v>
      </c>
      <c r="G184">
        <v>21</v>
      </c>
      <c r="H184" t="s">
        <v>252</v>
      </c>
      <c r="I184" t="s">
        <v>107</v>
      </c>
      <c r="J184">
        <v>808966</v>
      </c>
      <c r="K184" t="s">
        <v>18</v>
      </c>
      <c r="L184" s="1">
        <v>42452.444444444445</v>
      </c>
      <c r="M184" s="1">
        <v>42452</v>
      </c>
      <c r="N184" s="3">
        <f>INT(BrightTV_JoinedTablesnw_2026_04_16_23_55_09[[#This Row],[Viewership.RecordDate22]])</f>
        <v>42452</v>
      </c>
      <c r="O184" s="2">
        <v>0.44444444444444442</v>
      </c>
      <c r="P184" t="s">
        <v>374</v>
      </c>
      <c r="Q184">
        <v>808966</v>
      </c>
      <c r="R184" t="s">
        <v>20</v>
      </c>
    </row>
    <row r="185" spans="1:18" x14ac:dyDescent="0.25">
      <c r="A185">
        <v>808966</v>
      </c>
      <c r="B185" t="s">
        <v>103</v>
      </c>
      <c r="C185" t="s">
        <v>22</v>
      </c>
      <c r="D185" t="s">
        <v>370</v>
      </c>
      <c r="E185" t="s">
        <v>38</v>
      </c>
      <c r="F185" t="s">
        <v>39</v>
      </c>
      <c r="G185">
        <v>21</v>
      </c>
      <c r="H185" t="s">
        <v>252</v>
      </c>
      <c r="I185" t="s">
        <v>107</v>
      </c>
      <c r="J185">
        <v>808966</v>
      </c>
      <c r="K185" t="s">
        <v>30</v>
      </c>
      <c r="L185" s="1">
        <v>42448.928472222222</v>
      </c>
      <c r="M185" s="1">
        <v>42448</v>
      </c>
      <c r="N185" s="3">
        <f>INT(BrightTV_JoinedTablesnw_2026_04_16_23_55_09[[#This Row],[Viewership.RecordDate22]])</f>
        <v>42448</v>
      </c>
      <c r="O185" s="2">
        <v>0.92847222222222225</v>
      </c>
      <c r="P185" t="s">
        <v>375</v>
      </c>
      <c r="Q185">
        <v>808966</v>
      </c>
      <c r="R185" t="s">
        <v>20</v>
      </c>
    </row>
    <row r="186" spans="1:18" x14ac:dyDescent="0.25">
      <c r="A186">
        <v>808966</v>
      </c>
      <c r="B186" t="s">
        <v>103</v>
      </c>
      <c r="C186" t="s">
        <v>22</v>
      </c>
      <c r="D186" t="s">
        <v>370</v>
      </c>
      <c r="E186" t="s">
        <v>38</v>
      </c>
      <c r="F186" t="s">
        <v>39</v>
      </c>
      <c r="G186">
        <v>21</v>
      </c>
      <c r="H186" t="s">
        <v>252</v>
      </c>
      <c r="I186" t="s">
        <v>107</v>
      </c>
      <c r="J186">
        <v>808966</v>
      </c>
      <c r="K186" t="s">
        <v>129</v>
      </c>
      <c r="L186" s="1">
        <v>42396.892361111109</v>
      </c>
      <c r="M186" s="1">
        <v>42396</v>
      </c>
      <c r="N186" s="3">
        <f>INT(BrightTV_JoinedTablesnw_2026_04_16_23_55_09[[#This Row],[Viewership.RecordDate22]])</f>
        <v>42396</v>
      </c>
      <c r="O186" s="2">
        <v>0.89236111111111116</v>
      </c>
      <c r="P186" t="s">
        <v>313</v>
      </c>
      <c r="Q186">
        <v>808966</v>
      </c>
      <c r="R186" t="s">
        <v>20</v>
      </c>
    </row>
    <row r="187" spans="1:18" x14ac:dyDescent="0.25">
      <c r="A187">
        <v>808966</v>
      </c>
      <c r="B187" t="s">
        <v>103</v>
      </c>
      <c r="C187" t="s">
        <v>22</v>
      </c>
      <c r="D187" t="s">
        <v>370</v>
      </c>
      <c r="E187" t="s">
        <v>38</v>
      </c>
      <c r="F187" t="s">
        <v>39</v>
      </c>
      <c r="G187">
        <v>21</v>
      </c>
      <c r="H187" t="s">
        <v>252</v>
      </c>
      <c r="I187" t="s">
        <v>107</v>
      </c>
      <c r="J187">
        <v>808966</v>
      </c>
      <c r="K187" t="s">
        <v>129</v>
      </c>
      <c r="L187" s="1">
        <v>42449.662499999999</v>
      </c>
      <c r="M187" s="1">
        <v>42449</v>
      </c>
      <c r="N187" s="3">
        <f>INT(BrightTV_JoinedTablesnw_2026_04_16_23_55_09[[#This Row],[Viewership.RecordDate22]])</f>
        <v>42449</v>
      </c>
      <c r="O187" s="2">
        <v>0.66249999999999998</v>
      </c>
      <c r="P187" t="s">
        <v>376</v>
      </c>
      <c r="Q187">
        <v>808966</v>
      </c>
      <c r="R187" t="s">
        <v>20</v>
      </c>
    </row>
    <row r="188" spans="1:18" x14ac:dyDescent="0.25">
      <c r="A188">
        <v>808966</v>
      </c>
      <c r="B188" t="s">
        <v>103</v>
      </c>
      <c r="C188" t="s">
        <v>22</v>
      </c>
      <c r="D188" t="s">
        <v>370</v>
      </c>
      <c r="E188" t="s">
        <v>38</v>
      </c>
      <c r="F188" t="s">
        <v>39</v>
      </c>
      <c r="G188">
        <v>21</v>
      </c>
      <c r="H188" t="s">
        <v>252</v>
      </c>
      <c r="I188" t="s">
        <v>107</v>
      </c>
      <c r="J188">
        <v>808966</v>
      </c>
      <c r="K188" t="s">
        <v>47</v>
      </c>
      <c r="L188" s="1">
        <v>42449.929166666669</v>
      </c>
      <c r="M188" s="1">
        <v>42449</v>
      </c>
      <c r="N188" s="3">
        <f>INT(BrightTV_JoinedTablesnw_2026_04_16_23_55_09[[#This Row],[Viewership.RecordDate22]])</f>
        <v>42449</v>
      </c>
      <c r="O188" s="2">
        <v>0.9291666666666667</v>
      </c>
      <c r="P188" t="s">
        <v>64</v>
      </c>
      <c r="Q188">
        <v>808966</v>
      </c>
      <c r="R188" t="s">
        <v>20</v>
      </c>
    </row>
    <row r="189" spans="1:18" x14ac:dyDescent="0.25">
      <c r="A189">
        <v>808966</v>
      </c>
      <c r="B189" t="s">
        <v>103</v>
      </c>
      <c r="C189" t="s">
        <v>22</v>
      </c>
      <c r="D189" t="s">
        <v>370</v>
      </c>
      <c r="E189" t="s">
        <v>38</v>
      </c>
      <c r="F189" t="s">
        <v>39</v>
      </c>
      <c r="G189">
        <v>21</v>
      </c>
      <c r="H189" t="s">
        <v>252</v>
      </c>
      <c r="I189" t="s">
        <v>107</v>
      </c>
      <c r="J189">
        <v>808966</v>
      </c>
      <c r="K189" t="s">
        <v>47</v>
      </c>
      <c r="L189" s="1">
        <v>42449.694444444445</v>
      </c>
      <c r="M189" s="1">
        <v>42449</v>
      </c>
      <c r="N189" s="3">
        <f>INT(BrightTV_JoinedTablesnw_2026_04_16_23_55_09[[#This Row],[Viewership.RecordDate22]])</f>
        <v>42449</v>
      </c>
      <c r="O189" s="2">
        <v>0.69444444444444442</v>
      </c>
      <c r="P189" t="s">
        <v>64</v>
      </c>
      <c r="Q189">
        <v>808966</v>
      </c>
      <c r="R189" t="s">
        <v>20</v>
      </c>
    </row>
    <row r="190" spans="1:18" x14ac:dyDescent="0.25">
      <c r="A190">
        <v>808966</v>
      </c>
      <c r="B190" t="s">
        <v>103</v>
      </c>
      <c r="C190" t="s">
        <v>22</v>
      </c>
      <c r="D190" t="s">
        <v>370</v>
      </c>
      <c r="E190" t="s">
        <v>38</v>
      </c>
      <c r="F190" t="s">
        <v>39</v>
      </c>
      <c r="G190">
        <v>21</v>
      </c>
      <c r="H190" t="s">
        <v>252</v>
      </c>
      <c r="I190" t="s">
        <v>107</v>
      </c>
      <c r="J190">
        <v>808966</v>
      </c>
      <c r="K190" t="s">
        <v>54</v>
      </c>
      <c r="L190" s="1">
        <v>42423.254166666666</v>
      </c>
      <c r="M190" s="1">
        <v>42423</v>
      </c>
      <c r="N190" s="3">
        <f>INT(BrightTV_JoinedTablesnw_2026_04_16_23_55_09[[#This Row],[Viewership.RecordDate22]])</f>
        <v>42423</v>
      </c>
      <c r="O190" s="2">
        <v>0.25416666666666665</v>
      </c>
      <c r="P190" t="s">
        <v>377</v>
      </c>
      <c r="Q190">
        <v>808966</v>
      </c>
      <c r="R190" t="s">
        <v>20</v>
      </c>
    </row>
    <row r="191" spans="1:18" x14ac:dyDescent="0.25">
      <c r="A191">
        <v>808966</v>
      </c>
      <c r="B191" t="s">
        <v>103</v>
      </c>
      <c r="C191" t="s">
        <v>22</v>
      </c>
      <c r="D191" t="s">
        <v>370</v>
      </c>
      <c r="E191" t="s">
        <v>38</v>
      </c>
      <c r="F191" t="s">
        <v>39</v>
      </c>
      <c r="G191">
        <v>21</v>
      </c>
      <c r="H191" t="s">
        <v>252</v>
      </c>
      <c r="I191" t="s">
        <v>107</v>
      </c>
      <c r="J191">
        <v>808966</v>
      </c>
      <c r="K191" t="s">
        <v>54</v>
      </c>
      <c r="L191" s="1">
        <v>42453.259722222225</v>
      </c>
      <c r="M191" s="1">
        <v>42453</v>
      </c>
      <c r="N191" s="3">
        <f>INT(BrightTV_JoinedTablesnw_2026_04_16_23_55_09[[#This Row],[Viewership.RecordDate22]])</f>
        <v>42453</v>
      </c>
      <c r="O191" s="2">
        <v>0.25972222222222224</v>
      </c>
      <c r="P191" t="s">
        <v>64</v>
      </c>
      <c r="Q191">
        <v>808966</v>
      </c>
      <c r="R191" t="s">
        <v>20</v>
      </c>
    </row>
    <row r="192" spans="1:18" x14ac:dyDescent="0.25">
      <c r="A192">
        <v>786099</v>
      </c>
      <c r="B192" t="s">
        <v>93</v>
      </c>
      <c r="C192" t="s">
        <v>136</v>
      </c>
      <c r="D192" t="s">
        <v>378</v>
      </c>
      <c r="E192" t="s">
        <v>38</v>
      </c>
      <c r="F192" t="s">
        <v>39</v>
      </c>
      <c r="G192">
        <v>30</v>
      </c>
      <c r="H192" t="s">
        <v>40</v>
      </c>
      <c r="I192" t="s">
        <v>97</v>
      </c>
      <c r="J192">
        <v>786099</v>
      </c>
      <c r="K192" t="s">
        <v>62</v>
      </c>
      <c r="L192" s="1">
        <v>42409.673611111109</v>
      </c>
      <c r="M192" s="1">
        <v>42409</v>
      </c>
      <c r="N192" s="3">
        <f>INT(BrightTV_JoinedTablesnw_2026_04_16_23_55_09[[#This Row],[Viewership.RecordDate22]])</f>
        <v>42409</v>
      </c>
      <c r="O192" s="2">
        <v>0.67361111111111116</v>
      </c>
      <c r="P192" t="s">
        <v>79</v>
      </c>
      <c r="Q192">
        <v>786099</v>
      </c>
      <c r="R192" t="s">
        <v>20</v>
      </c>
    </row>
    <row r="193" spans="1:18" x14ac:dyDescent="0.25">
      <c r="A193">
        <v>808969</v>
      </c>
      <c r="B193" t="s">
        <v>232</v>
      </c>
      <c r="C193" t="s">
        <v>379</v>
      </c>
      <c r="D193" t="s">
        <v>380</v>
      </c>
      <c r="E193" t="s">
        <v>38</v>
      </c>
      <c r="F193" t="s">
        <v>39</v>
      </c>
      <c r="G193">
        <v>18</v>
      </c>
      <c r="H193" t="s">
        <v>40</v>
      </c>
      <c r="I193" t="s">
        <v>235</v>
      </c>
      <c r="J193">
        <v>808969</v>
      </c>
      <c r="K193" t="s">
        <v>47</v>
      </c>
      <c r="L193" s="1">
        <v>42432.42083333333</v>
      </c>
      <c r="M193" s="1">
        <v>42432</v>
      </c>
      <c r="N193" s="3">
        <f>INT(BrightTV_JoinedTablesnw_2026_04_16_23_55_09[[#This Row],[Viewership.RecordDate22]])</f>
        <v>42432</v>
      </c>
      <c r="O193" s="2">
        <v>0.42083333333333334</v>
      </c>
      <c r="P193" t="s">
        <v>200</v>
      </c>
      <c r="Q193">
        <v>808969</v>
      </c>
      <c r="R193" t="s">
        <v>20</v>
      </c>
    </row>
    <row r="194" spans="1:18" x14ac:dyDescent="0.25">
      <c r="A194">
        <v>808969</v>
      </c>
      <c r="B194" t="s">
        <v>232</v>
      </c>
      <c r="C194" t="s">
        <v>379</v>
      </c>
      <c r="D194" t="s">
        <v>380</v>
      </c>
      <c r="E194" t="s">
        <v>38</v>
      </c>
      <c r="F194" t="s">
        <v>39</v>
      </c>
      <c r="G194">
        <v>18</v>
      </c>
      <c r="H194" t="s">
        <v>40</v>
      </c>
      <c r="I194" t="s">
        <v>235</v>
      </c>
      <c r="J194">
        <v>808969</v>
      </c>
      <c r="K194" t="s">
        <v>77</v>
      </c>
      <c r="L194" s="1">
        <v>42437.532638888886</v>
      </c>
      <c r="M194" s="1">
        <v>42437</v>
      </c>
      <c r="N194" s="3">
        <f>INT(BrightTV_JoinedTablesnw_2026_04_16_23_55_09[[#This Row],[Viewership.RecordDate22]])</f>
        <v>42437</v>
      </c>
      <c r="O194" s="2">
        <v>0.53263888888888888</v>
      </c>
      <c r="P194" t="s">
        <v>381</v>
      </c>
      <c r="Q194">
        <v>808969</v>
      </c>
      <c r="R194" t="s">
        <v>20</v>
      </c>
    </row>
    <row r="195" spans="1:18" x14ac:dyDescent="0.25">
      <c r="A195">
        <v>808969</v>
      </c>
      <c r="B195" t="s">
        <v>232</v>
      </c>
      <c r="C195" t="s">
        <v>379</v>
      </c>
      <c r="D195" t="s">
        <v>380</v>
      </c>
      <c r="E195" t="s">
        <v>38</v>
      </c>
      <c r="F195" t="s">
        <v>39</v>
      </c>
      <c r="G195">
        <v>18</v>
      </c>
      <c r="H195" t="s">
        <v>40</v>
      </c>
      <c r="I195" t="s">
        <v>235</v>
      </c>
      <c r="J195">
        <v>808969</v>
      </c>
      <c r="K195" t="s">
        <v>47</v>
      </c>
      <c r="L195" s="1">
        <v>42381.915277777778</v>
      </c>
      <c r="M195" s="1">
        <v>42381</v>
      </c>
      <c r="N195" s="3">
        <f>INT(BrightTV_JoinedTablesnw_2026_04_16_23_55_09[[#This Row],[Viewership.RecordDate22]])</f>
        <v>42381</v>
      </c>
      <c r="O195" s="2">
        <v>0.91527777777777775</v>
      </c>
      <c r="P195" t="s">
        <v>382</v>
      </c>
      <c r="Q195">
        <v>808969</v>
      </c>
      <c r="R195" t="s">
        <v>20</v>
      </c>
    </row>
    <row r="196" spans="1:18" x14ac:dyDescent="0.25">
      <c r="A196">
        <v>808969</v>
      </c>
      <c r="B196" t="s">
        <v>232</v>
      </c>
      <c r="C196" t="s">
        <v>379</v>
      </c>
      <c r="D196" t="s">
        <v>380</v>
      </c>
      <c r="E196" t="s">
        <v>38</v>
      </c>
      <c r="F196" t="s">
        <v>39</v>
      </c>
      <c r="G196">
        <v>18</v>
      </c>
      <c r="H196" t="s">
        <v>40</v>
      </c>
      <c r="I196" t="s">
        <v>235</v>
      </c>
      <c r="J196">
        <v>808969</v>
      </c>
      <c r="K196" t="s">
        <v>77</v>
      </c>
      <c r="L196" s="1">
        <v>42382.777777777781</v>
      </c>
      <c r="M196" s="1">
        <v>42382</v>
      </c>
      <c r="N196" s="3">
        <f>INT(BrightTV_JoinedTablesnw_2026_04_16_23_55_09[[#This Row],[Viewership.RecordDate22]])</f>
        <v>42382</v>
      </c>
      <c r="O196" s="2">
        <v>0.77777777777777779</v>
      </c>
      <c r="P196" t="s">
        <v>289</v>
      </c>
      <c r="Q196">
        <v>808969</v>
      </c>
      <c r="R196" t="s">
        <v>20</v>
      </c>
    </row>
    <row r="197" spans="1:18" x14ac:dyDescent="0.25">
      <c r="A197">
        <v>808969</v>
      </c>
      <c r="B197" t="s">
        <v>232</v>
      </c>
      <c r="C197" t="s">
        <v>379</v>
      </c>
      <c r="D197" t="s">
        <v>380</v>
      </c>
      <c r="E197" t="s">
        <v>38</v>
      </c>
      <c r="F197" t="s">
        <v>39</v>
      </c>
      <c r="G197">
        <v>18</v>
      </c>
      <c r="H197" t="s">
        <v>40</v>
      </c>
      <c r="I197" t="s">
        <v>235</v>
      </c>
      <c r="J197">
        <v>808969</v>
      </c>
      <c r="K197" t="s">
        <v>84</v>
      </c>
      <c r="L197" s="1">
        <v>42380.916666666664</v>
      </c>
      <c r="M197" s="1">
        <v>42380</v>
      </c>
      <c r="N197" s="3">
        <f>INT(BrightTV_JoinedTablesnw_2026_04_16_23_55_09[[#This Row],[Viewership.RecordDate22]])</f>
        <v>42380</v>
      </c>
      <c r="O197" s="2">
        <v>0.91666666666666663</v>
      </c>
      <c r="P197" t="s">
        <v>231</v>
      </c>
      <c r="Q197">
        <v>808969</v>
      </c>
      <c r="R197" t="s">
        <v>20</v>
      </c>
    </row>
    <row r="198" spans="1:18" x14ac:dyDescent="0.25">
      <c r="A198">
        <v>792729</v>
      </c>
      <c r="B198" t="s">
        <v>16</v>
      </c>
      <c r="C198" t="s">
        <v>16</v>
      </c>
      <c r="D198" t="s">
        <v>197</v>
      </c>
      <c r="E198" t="s">
        <v>16</v>
      </c>
      <c r="F198" t="s">
        <v>16</v>
      </c>
      <c r="G198">
        <v>0</v>
      </c>
      <c r="H198" t="s">
        <v>16</v>
      </c>
      <c r="I198" t="s">
        <v>16</v>
      </c>
      <c r="J198">
        <v>792729</v>
      </c>
      <c r="K198" t="s">
        <v>77</v>
      </c>
      <c r="L198" s="1">
        <v>42459.826388888891</v>
      </c>
      <c r="M198" s="1">
        <v>42459</v>
      </c>
      <c r="N198" s="3">
        <f>INT(BrightTV_JoinedTablesnw_2026_04_16_23_55_09[[#This Row],[Viewership.RecordDate22]])</f>
        <v>42459</v>
      </c>
      <c r="O198" s="2">
        <v>0.82638888888888884</v>
      </c>
      <c r="P198" t="s">
        <v>286</v>
      </c>
      <c r="Q198">
        <v>792729</v>
      </c>
      <c r="R198" t="s">
        <v>20</v>
      </c>
    </row>
    <row r="199" spans="1:18" x14ac:dyDescent="0.25">
      <c r="A199">
        <v>808976</v>
      </c>
      <c r="B199" t="s">
        <v>115</v>
      </c>
      <c r="C199" t="s">
        <v>379</v>
      </c>
      <c r="D199" t="s">
        <v>383</v>
      </c>
      <c r="E199" t="s">
        <v>38</v>
      </c>
      <c r="F199" t="s">
        <v>39</v>
      </c>
      <c r="G199">
        <v>46</v>
      </c>
      <c r="H199" t="s">
        <v>40</v>
      </c>
      <c r="I199" t="s">
        <v>118</v>
      </c>
      <c r="J199">
        <v>808976</v>
      </c>
      <c r="K199" t="s">
        <v>54</v>
      </c>
      <c r="L199" s="1">
        <v>42431.729166666664</v>
      </c>
      <c r="M199" s="1">
        <v>42431</v>
      </c>
      <c r="N199" s="3">
        <f>INT(BrightTV_JoinedTablesnw_2026_04_16_23_55_09[[#This Row],[Viewership.RecordDate22]])</f>
        <v>42431</v>
      </c>
      <c r="O199" s="2">
        <v>0.72916666666666663</v>
      </c>
      <c r="P199" t="s">
        <v>384</v>
      </c>
      <c r="Q199">
        <v>808976</v>
      </c>
      <c r="R199" t="s">
        <v>20</v>
      </c>
    </row>
    <row r="200" spans="1:18" x14ac:dyDescent="0.25">
      <c r="A200">
        <v>803542</v>
      </c>
      <c r="B200" t="s">
        <v>385</v>
      </c>
      <c r="C200" t="s">
        <v>116</v>
      </c>
      <c r="D200" t="s">
        <v>386</v>
      </c>
      <c r="E200" t="s">
        <v>38</v>
      </c>
      <c r="F200" t="s">
        <v>106</v>
      </c>
      <c r="G200">
        <v>36</v>
      </c>
      <c r="H200" t="s">
        <v>52</v>
      </c>
      <c r="I200" t="s">
        <v>387</v>
      </c>
      <c r="J200">
        <v>803542</v>
      </c>
      <c r="K200" t="s">
        <v>77</v>
      </c>
      <c r="L200" s="1">
        <v>42460.702777777777</v>
      </c>
      <c r="M200" s="1">
        <v>42460</v>
      </c>
      <c r="N200" s="3">
        <f>INT(BrightTV_JoinedTablesnw_2026_04_16_23_55_09[[#This Row],[Viewership.RecordDate22]])</f>
        <v>42460</v>
      </c>
      <c r="O200" s="2">
        <v>0.70277777777777772</v>
      </c>
      <c r="P200" t="s">
        <v>388</v>
      </c>
      <c r="Q200">
        <v>803542</v>
      </c>
      <c r="R200" t="s">
        <v>20</v>
      </c>
    </row>
    <row r="201" spans="1:18" x14ac:dyDescent="0.25">
      <c r="A201">
        <v>593622</v>
      </c>
      <c r="B201" t="s">
        <v>389</v>
      </c>
      <c r="C201" t="s">
        <v>260</v>
      </c>
      <c r="D201" t="s">
        <v>390</v>
      </c>
      <c r="E201" t="s">
        <v>24</v>
      </c>
      <c r="F201" t="s">
        <v>39</v>
      </c>
      <c r="G201">
        <v>27</v>
      </c>
      <c r="H201" t="s">
        <v>40</v>
      </c>
      <c r="I201" t="s">
        <v>391</v>
      </c>
      <c r="J201">
        <v>593622</v>
      </c>
      <c r="K201" t="s">
        <v>77</v>
      </c>
      <c r="L201" s="1">
        <v>42390.586805555555</v>
      </c>
      <c r="M201" s="1">
        <v>42390</v>
      </c>
      <c r="N201" s="3">
        <f>INT(BrightTV_JoinedTablesnw_2026_04_16_23_55_09[[#This Row],[Viewership.RecordDate22]])</f>
        <v>42390</v>
      </c>
      <c r="O201" s="2">
        <v>0.58680555555555558</v>
      </c>
      <c r="P201" t="s">
        <v>392</v>
      </c>
      <c r="Q201">
        <v>593622</v>
      </c>
      <c r="R201" t="s">
        <v>20</v>
      </c>
    </row>
    <row r="202" spans="1:18" x14ac:dyDescent="0.25">
      <c r="A202">
        <v>771848</v>
      </c>
      <c r="B202" t="s">
        <v>43</v>
      </c>
      <c r="C202" t="s">
        <v>283</v>
      </c>
      <c r="D202" t="s">
        <v>393</v>
      </c>
      <c r="E202" t="s">
        <v>38</v>
      </c>
      <c r="F202" t="s">
        <v>39</v>
      </c>
      <c r="G202">
        <v>28</v>
      </c>
      <c r="H202" t="s">
        <v>40</v>
      </c>
      <c r="I202" t="s">
        <v>46</v>
      </c>
      <c r="J202">
        <v>771848</v>
      </c>
      <c r="K202" t="s">
        <v>69</v>
      </c>
      <c r="L202" s="1">
        <v>42411.568749999999</v>
      </c>
      <c r="M202" s="1">
        <v>42411</v>
      </c>
      <c r="N202" s="3">
        <f>INT(BrightTV_JoinedTablesnw_2026_04_16_23_55_09[[#This Row],[Viewership.RecordDate22]])</f>
        <v>42411</v>
      </c>
      <c r="O202" s="2">
        <v>0.56874999999999998</v>
      </c>
      <c r="P202" t="s">
        <v>287</v>
      </c>
      <c r="Q202">
        <v>771848</v>
      </c>
      <c r="R202" t="s">
        <v>20</v>
      </c>
    </row>
    <row r="203" spans="1:18" x14ac:dyDescent="0.25">
      <c r="A203">
        <v>771848</v>
      </c>
      <c r="B203" t="s">
        <v>43</v>
      </c>
      <c r="C203" t="s">
        <v>283</v>
      </c>
      <c r="D203" t="s">
        <v>393</v>
      </c>
      <c r="E203" t="s">
        <v>38</v>
      </c>
      <c r="F203" t="s">
        <v>39</v>
      </c>
      <c r="G203">
        <v>28</v>
      </c>
      <c r="H203" t="s">
        <v>40</v>
      </c>
      <c r="I203" t="s">
        <v>46</v>
      </c>
      <c r="J203">
        <v>771848</v>
      </c>
      <c r="K203" t="s">
        <v>30</v>
      </c>
      <c r="L203" s="1">
        <v>42410.913194444445</v>
      </c>
      <c r="M203" s="1">
        <v>42410</v>
      </c>
      <c r="N203" s="3">
        <f>INT(BrightTV_JoinedTablesnw_2026_04_16_23_55_09[[#This Row],[Viewership.RecordDate22]])</f>
        <v>42410</v>
      </c>
      <c r="O203" s="2">
        <v>0.91319444444444442</v>
      </c>
      <c r="P203" t="s">
        <v>394</v>
      </c>
      <c r="Q203">
        <v>771848</v>
      </c>
      <c r="R203" t="s">
        <v>20</v>
      </c>
    </row>
    <row r="204" spans="1:18" x14ac:dyDescent="0.25">
      <c r="A204">
        <v>771848</v>
      </c>
      <c r="B204" t="s">
        <v>43</v>
      </c>
      <c r="C204" t="s">
        <v>283</v>
      </c>
      <c r="D204" t="s">
        <v>393</v>
      </c>
      <c r="E204" t="s">
        <v>38</v>
      </c>
      <c r="F204" t="s">
        <v>39</v>
      </c>
      <c r="G204">
        <v>28</v>
      </c>
      <c r="H204" t="s">
        <v>40</v>
      </c>
      <c r="I204" t="s">
        <v>46</v>
      </c>
      <c r="J204">
        <v>771848</v>
      </c>
      <c r="K204" t="s">
        <v>30</v>
      </c>
      <c r="L204" s="1">
        <v>42370.870833333334</v>
      </c>
      <c r="M204" s="1">
        <v>42370</v>
      </c>
      <c r="N204" s="3">
        <f>INT(BrightTV_JoinedTablesnw_2026_04_16_23_55_09[[#This Row],[Viewership.RecordDate22]])</f>
        <v>42370</v>
      </c>
      <c r="O204" s="2">
        <v>0.87083333333333335</v>
      </c>
      <c r="P204" t="s">
        <v>395</v>
      </c>
      <c r="Q204">
        <v>771848</v>
      </c>
      <c r="R204" t="s">
        <v>20</v>
      </c>
    </row>
    <row r="205" spans="1:18" x14ac:dyDescent="0.25">
      <c r="A205">
        <v>771848</v>
      </c>
      <c r="B205" t="s">
        <v>43</v>
      </c>
      <c r="C205" t="s">
        <v>283</v>
      </c>
      <c r="D205" t="s">
        <v>393</v>
      </c>
      <c r="E205" t="s">
        <v>38</v>
      </c>
      <c r="F205" t="s">
        <v>39</v>
      </c>
      <c r="G205">
        <v>28</v>
      </c>
      <c r="H205" t="s">
        <v>40</v>
      </c>
      <c r="I205" t="s">
        <v>46</v>
      </c>
      <c r="J205">
        <v>771848</v>
      </c>
      <c r="K205" t="s">
        <v>47</v>
      </c>
      <c r="L205" s="1">
        <v>42391.626388888886</v>
      </c>
      <c r="M205" s="1">
        <v>42391</v>
      </c>
      <c r="N205" s="3">
        <f>INT(BrightTV_JoinedTablesnw_2026_04_16_23_55_09[[#This Row],[Viewership.RecordDate22]])</f>
        <v>42391</v>
      </c>
      <c r="O205" s="2">
        <v>0.62638888888888888</v>
      </c>
      <c r="P205" t="s">
        <v>396</v>
      </c>
      <c r="Q205">
        <v>771848</v>
      </c>
      <c r="R205" t="s">
        <v>20</v>
      </c>
    </row>
    <row r="206" spans="1:18" x14ac:dyDescent="0.25">
      <c r="A206">
        <v>771848</v>
      </c>
      <c r="B206" t="s">
        <v>43</v>
      </c>
      <c r="C206" t="s">
        <v>283</v>
      </c>
      <c r="D206" t="s">
        <v>393</v>
      </c>
      <c r="E206" t="s">
        <v>38</v>
      </c>
      <c r="F206" t="s">
        <v>39</v>
      </c>
      <c r="G206">
        <v>28</v>
      </c>
      <c r="H206" t="s">
        <v>40</v>
      </c>
      <c r="I206" t="s">
        <v>46</v>
      </c>
      <c r="J206">
        <v>771848</v>
      </c>
      <c r="K206" t="s">
        <v>47</v>
      </c>
      <c r="L206" s="1">
        <v>42387.613194444442</v>
      </c>
      <c r="M206" s="1">
        <v>42387</v>
      </c>
      <c r="N206" s="3">
        <f>INT(BrightTV_JoinedTablesnw_2026_04_16_23_55_09[[#This Row],[Viewership.RecordDate22]])</f>
        <v>42387</v>
      </c>
      <c r="O206" s="2">
        <v>0.61319444444444449</v>
      </c>
      <c r="P206" t="s">
        <v>397</v>
      </c>
      <c r="Q206">
        <v>771848</v>
      </c>
      <c r="R206" t="s">
        <v>20</v>
      </c>
    </row>
    <row r="207" spans="1:18" x14ac:dyDescent="0.25">
      <c r="A207">
        <v>764355</v>
      </c>
      <c r="B207" t="s">
        <v>398</v>
      </c>
      <c r="C207" t="s">
        <v>271</v>
      </c>
      <c r="D207" t="s">
        <v>399</v>
      </c>
      <c r="E207" t="s">
        <v>38</v>
      </c>
      <c r="F207" t="s">
        <v>25</v>
      </c>
      <c r="G207">
        <v>24</v>
      </c>
      <c r="H207" t="s">
        <v>40</v>
      </c>
      <c r="I207" t="s">
        <v>400</v>
      </c>
      <c r="J207">
        <v>764355</v>
      </c>
      <c r="K207" t="s">
        <v>32</v>
      </c>
      <c r="L207" s="1">
        <v>42391.695833333331</v>
      </c>
      <c r="M207" s="1">
        <v>42391</v>
      </c>
      <c r="N207" s="3">
        <f>INT(BrightTV_JoinedTablesnw_2026_04_16_23_55_09[[#This Row],[Viewership.RecordDate22]])</f>
        <v>42391</v>
      </c>
      <c r="O207" s="2">
        <v>0.6958333333333333</v>
      </c>
      <c r="P207" t="s">
        <v>401</v>
      </c>
      <c r="Q207">
        <v>764355</v>
      </c>
      <c r="R207" t="s">
        <v>20</v>
      </c>
    </row>
    <row r="208" spans="1:18" x14ac:dyDescent="0.25">
      <c r="A208">
        <v>771849</v>
      </c>
      <c r="B208" t="s">
        <v>402</v>
      </c>
      <c r="C208" t="s">
        <v>177</v>
      </c>
      <c r="D208" t="s">
        <v>403</v>
      </c>
      <c r="E208" t="s">
        <v>38</v>
      </c>
      <c r="F208" t="s">
        <v>16</v>
      </c>
      <c r="G208">
        <v>55</v>
      </c>
      <c r="H208" t="s">
        <v>40</v>
      </c>
      <c r="I208" t="s">
        <v>404</v>
      </c>
      <c r="J208">
        <v>771849</v>
      </c>
      <c r="K208" t="s">
        <v>129</v>
      </c>
      <c r="L208" s="1">
        <v>42419.970138888886</v>
      </c>
      <c r="M208" s="1">
        <v>42419</v>
      </c>
      <c r="N208" s="3">
        <f>INT(BrightTV_JoinedTablesnw_2026_04_16_23_55_09[[#This Row],[Viewership.RecordDate22]])</f>
        <v>42419</v>
      </c>
      <c r="O208" s="2">
        <v>0.97013888888888888</v>
      </c>
      <c r="P208" t="s">
        <v>405</v>
      </c>
      <c r="Q208">
        <v>771849</v>
      </c>
      <c r="R208" t="s">
        <v>20</v>
      </c>
    </row>
    <row r="209" spans="1:18" x14ac:dyDescent="0.25">
      <c r="A209">
        <v>771849</v>
      </c>
      <c r="B209" t="s">
        <v>402</v>
      </c>
      <c r="C209" t="s">
        <v>177</v>
      </c>
      <c r="D209" t="s">
        <v>403</v>
      </c>
      <c r="E209" t="s">
        <v>38</v>
      </c>
      <c r="F209" t="s">
        <v>16</v>
      </c>
      <c r="G209">
        <v>55</v>
      </c>
      <c r="H209" t="s">
        <v>40</v>
      </c>
      <c r="I209" t="s">
        <v>404</v>
      </c>
      <c r="J209">
        <v>771849</v>
      </c>
      <c r="K209" t="s">
        <v>28</v>
      </c>
      <c r="L209" s="1">
        <v>42419.973611111112</v>
      </c>
      <c r="M209" s="1">
        <v>42419</v>
      </c>
      <c r="N209" s="3">
        <f>INT(BrightTV_JoinedTablesnw_2026_04_16_23_55_09[[#This Row],[Viewership.RecordDate22]])</f>
        <v>42419</v>
      </c>
      <c r="O209" s="2">
        <v>0.97361111111111109</v>
      </c>
      <c r="P209" t="s">
        <v>63</v>
      </c>
      <c r="Q209">
        <v>771849</v>
      </c>
      <c r="R209" t="s">
        <v>20</v>
      </c>
    </row>
    <row r="210" spans="1:18" x14ac:dyDescent="0.25">
      <c r="A210">
        <v>771849</v>
      </c>
      <c r="B210" t="s">
        <v>402</v>
      </c>
      <c r="C210" t="s">
        <v>177</v>
      </c>
      <c r="D210" t="s">
        <v>403</v>
      </c>
      <c r="E210" t="s">
        <v>38</v>
      </c>
      <c r="F210" t="s">
        <v>16</v>
      </c>
      <c r="G210">
        <v>55</v>
      </c>
      <c r="H210" t="s">
        <v>40</v>
      </c>
      <c r="I210" t="s">
        <v>404</v>
      </c>
      <c r="J210">
        <v>771849</v>
      </c>
      <c r="K210" t="s">
        <v>47</v>
      </c>
      <c r="L210" s="1">
        <v>42406.708333333336</v>
      </c>
      <c r="M210" s="1">
        <v>42406</v>
      </c>
      <c r="N210" s="3">
        <f>INT(BrightTV_JoinedTablesnw_2026_04_16_23_55_09[[#This Row],[Viewership.RecordDate22]])</f>
        <v>42406</v>
      </c>
      <c r="O210" s="2">
        <v>0.70833333333333337</v>
      </c>
      <c r="P210" t="s">
        <v>71</v>
      </c>
      <c r="Q210">
        <v>771849</v>
      </c>
      <c r="R210" t="s">
        <v>20</v>
      </c>
    </row>
    <row r="211" spans="1:18" x14ac:dyDescent="0.25">
      <c r="A211">
        <v>808979</v>
      </c>
      <c r="B211" t="s">
        <v>406</v>
      </c>
      <c r="C211" t="s">
        <v>407</v>
      </c>
      <c r="D211" t="s">
        <v>408</v>
      </c>
      <c r="E211" t="s">
        <v>24</v>
      </c>
      <c r="F211" t="s">
        <v>25</v>
      </c>
      <c r="G211">
        <v>26</v>
      </c>
      <c r="H211" t="s">
        <v>252</v>
      </c>
      <c r="I211" t="s">
        <v>409</v>
      </c>
      <c r="J211">
        <v>808979</v>
      </c>
      <c r="K211" t="s">
        <v>62</v>
      </c>
      <c r="L211" s="1">
        <v>42422.895833333336</v>
      </c>
      <c r="M211" s="1">
        <v>42422</v>
      </c>
      <c r="N211" s="3">
        <f>INT(BrightTV_JoinedTablesnw_2026_04_16_23_55_09[[#This Row],[Viewership.RecordDate22]])</f>
        <v>42422</v>
      </c>
      <c r="O211" s="2">
        <v>0.89583333333333337</v>
      </c>
      <c r="P211" t="s">
        <v>410</v>
      </c>
      <c r="Q211">
        <v>808979</v>
      </c>
      <c r="R211" t="s">
        <v>20</v>
      </c>
    </row>
    <row r="212" spans="1:18" x14ac:dyDescent="0.25">
      <c r="A212">
        <v>621621</v>
      </c>
      <c r="B212" t="s">
        <v>411</v>
      </c>
      <c r="C212" t="s">
        <v>412</v>
      </c>
      <c r="D212" t="s">
        <v>413</v>
      </c>
      <c r="E212" t="s">
        <v>38</v>
      </c>
      <c r="F212" t="s">
        <v>39</v>
      </c>
      <c r="G212">
        <v>23</v>
      </c>
      <c r="H212" t="s">
        <v>40</v>
      </c>
      <c r="I212" t="s">
        <v>414</v>
      </c>
      <c r="J212">
        <v>621621</v>
      </c>
      <c r="K212" t="s">
        <v>28</v>
      </c>
      <c r="L212" s="1">
        <v>42386.722916666666</v>
      </c>
      <c r="M212" s="1">
        <v>42386</v>
      </c>
      <c r="N212" s="3">
        <f>INT(BrightTV_JoinedTablesnw_2026_04_16_23_55_09[[#This Row],[Viewership.RecordDate22]])</f>
        <v>42386</v>
      </c>
      <c r="O212" s="2">
        <v>0.72291666666666665</v>
      </c>
      <c r="P212" t="s">
        <v>144</v>
      </c>
      <c r="Q212">
        <v>621621</v>
      </c>
      <c r="R212" t="s">
        <v>20</v>
      </c>
    </row>
    <row r="213" spans="1:18" x14ac:dyDescent="0.25">
      <c r="A213">
        <v>808983</v>
      </c>
      <c r="B213" t="s">
        <v>165</v>
      </c>
      <c r="C213" t="s">
        <v>271</v>
      </c>
      <c r="D213" t="s">
        <v>415</v>
      </c>
      <c r="E213" t="s">
        <v>38</v>
      </c>
      <c r="F213" t="s">
        <v>96</v>
      </c>
      <c r="G213">
        <v>45</v>
      </c>
      <c r="H213" t="s">
        <v>60</v>
      </c>
      <c r="I213" t="s">
        <v>168</v>
      </c>
      <c r="J213">
        <v>808983</v>
      </c>
      <c r="K213" t="s">
        <v>169</v>
      </c>
      <c r="L213" s="1">
        <v>42415.945138888892</v>
      </c>
      <c r="M213" s="1">
        <v>42415</v>
      </c>
      <c r="N213" s="3">
        <f>INT(BrightTV_JoinedTablesnw_2026_04_16_23_55_09[[#This Row],[Viewership.RecordDate22]])</f>
        <v>42415</v>
      </c>
      <c r="O213" s="2">
        <v>0.94513888888888886</v>
      </c>
      <c r="P213" t="s">
        <v>416</v>
      </c>
      <c r="Q213">
        <v>808983</v>
      </c>
      <c r="R213" t="s">
        <v>20</v>
      </c>
    </row>
    <row r="214" spans="1:18" x14ac:dyDescent="0.25">
      <c r="A214">
        <v>808983</v>
      </c>
      <c r="B214" t="s">
        <v>165</v>
      </c>
      <c r="C214" t="s">
        <v>271</v>
      </c>
      <c r="D214" t="s">
        <v>415</v>
      </c>
      <c r="E214" t="s">
        <v>38</v>
      </c>
      <c r="F214" t="s">
        <v>96</v>
      </c>
      <c r="G214">
        <v>45</v>
      </c>
      <c r="H214" t="s">
        <v>60</v>
      </c>
      <c r="I214" t="s">
        <v>168</v>
      </c>
      <c r="J214">
        <v>808983</v>
      </c>
      <c r="K214" t="s">
        <v>417</v>
      </c>
      <c r="L214" s="1">
        <v>42413.898611111108</v>
      </c>
      <c r="M214" s="1">
        <v>42413</v>
      </c>
      <c r="N214" s="3">
        <f>INT(BrightTV_JoinedTablesnw_2026_04_16_23_55_09[[#This Row],[Viewership.RecordDate22]])</f>
        <v>42413</v>
      </c>
      <c r="O214" s="2">
        <v>0.89861111111111114</v>
      </c>
      <c r="P214" t="s">
        <v>64</v>
      </c>
      <c r="Q214">
        <v>808983</v>
      </c>
      <c r="R214" t="s">
        <v>20</v>
      </c>
    </row>
    <row r="215" spans="1:18" x14ac:dyDescent="0.25">
      <c r="A215">
        <v>772142</v>
      </c>
      <c r="B215" t="s">
        <v>188</v>
      </c>
      <c r="C215" t="s">
        <v>87</v>
      </c>
      <c r="D215" t="s">
        <v>418</v>
      </c>
      <c r="E215" t="s">
        <v>38</v>
      </c>
      <c r="F215" t="s">
        <v>106</v>
      </c>
      <c r="G215">
        <v>32</v>
      </c>
      <c r="H215" t="s">
        <v>60</v>
      </c>
      <c r="I215" t="s">
        <v>190</v>
      </c>
      <c r="J215">
        <v>772142</v>
      </c>
      <c r="K215" t="s">
        <v>30</v>
      </c>
      <c r="L215" s="1">
        <v>42439.923611111109</v>
      </c>
      <c r="M215" s="1">
        <v>42439</v>
      </c>
      <c r="N215" s="3">
        <f>INT(BrightTV_JoinedTablesnw_2026_04_16_23_55_09[[#This Row],[Viewership.RecordDate22]])</f>
        <v>42439</v>
      </c>
      <c r="O215" s="2">
        <v>0.92361111111111116</v>
      </c>
      <c r="P215" t="s">
        <v>397</v>
      </c>
      <c r="Q215">
        <v>772142</v>
      </c>
      <c r="R215" t="s">
        <v>20</v>
      </c>
    </row>
    <row r="216" spans="1:18" x14ac:dyDescent="0.25">
      <c r="A216">
        <v>771003</v>
      </c>
      <c r="B216" t="s">
        <v>385</v>
      </c>
      <c r="C216" t="s">
        <v>333</v>
      </c>
      <c r="D216" t="s">
        <v>419</v>
      </c>
      <c r="E216" t="s">
        <v>38</v>
      </c>
      <c r="F216" t="s">
        <v>96</v>
      </c>
      <c r="G216">
        <v>31</v>
      </c>
      <c r="H216" t="s">
        <v>60</v>
      </c>
      <c r="I216" t="s">
        <v>387</v>
      </c>
      <c r="J216">
        <v>771003</v>
      </c>
      <c r="K216" t="s">
        <v>18</v>
      </c>
      <c r="L216" s="1">
        <v>42426.553472222222</v>
      </c>
      <c r="M216" s="1">
        <v>42426</v>
      </c>
      <c r="N216" s="3">
        <f>INT(BrightTV_JoinedTablesnw_2026_04_16_23_55_09[[#This Row],[Viewership.RecordDate22]])</f>
        <v>42426</v>
      </c>
      <c r="O216" s="2">
        <v>0.55347222222222225</v>
      </c>
      <c r="P216" t="s">
        <v>210</v>
      </c>
      <c r="Q216">
        <v>771003</v>
      </c>
      <c r="R216" t="s">
        <v>20</v>
      </c>
    </row>
    <row r="217" spans="1:18" x14ac:dyDescent="0.25">
      <c r="A217">
        <v>771003</v>
      </c>
      <c r="B217" t="s">
        <v>385</v>
      </c>
      <c r="C217" t="s">
        <v>333</v>
      </c>
      <c r="D217" t="s">
        <v>419</v>
      </c>
      <c r="E217" t="s">
        <v>38</v>
      </c>
      <c r="F217" t="s">
        <v>96</v>
      </c>
      <c r="G217">
        <v>31</v>
      </c>
      <c r="H217" t="s">
        <v>60</v>
      </c>
      <c r="I217" t="s">
        <v>387</v>
      </c>
      <c r="J217">
        <v>771003</v>
      </c>
      <c r="K217" t="s">
        <v>84</v>
      </c>
      <c r="L217" s="1">
        <v>42426.674305555556</v>
      </c>
      <c r="M217" s="1">
        <v>42426</v>
      </c>
      <c r="N217" s="3">
        <f>INT(BrightTV_JoinedTablesnw_2026_04_16_23_55_09[[#This Row],[Viewership.RecordDate22]])</f>
        <v>42426</v>
      </c>
      <c r="O217" s="2">
        <v>0.6743055555555556</v>
      </c>
      <c r="P217" t="s">
        <v>140</v>
      </c>
      <c r="Q217">
        <v>771003</v>
      </c>
      <c r="R217" t="s">
        <v>20</v>
      </c>
    </row>
    <row r="218" spans="1:18" x14ac:dyDescent="0.25">
      <c r="A218">
        <v>771003</v>
      </c>
      <c r="B218" t="s">
        <v>385</v>
      </c>
      <c r="C218" t="s">
        <v>333</v>
      </c>
      <c r="D218" t="s">
        <v>419</v>
      </c>
      <c r="E218" t="s">
        <v>38</v>
      </c>
      <c r="F218" t="s">
        <v>96</v>
      </c>
      <c r="G218">
        <v>31</v>
      </c>
      <c r="H218" t="s">
        <v>60</v>
      </c>
      <c r="I218" t="s">
        <v>387</v>
      </c>
      <c r="J218">
        <v>771003</v>
      </c>
      <c r="K218" t="s">
        <v>28</v>
      </c>
      <c r="L218" s="1">
        <v>42427.76666666667</v>
      </c>
      <c r="M218" s="1">
        <v>42427</v>
      </c>
      <c r="N218" s="3">
        <f>INT(BrightTV_JoinedTablesnw_2026_04_16_23_55_09[[#This Row],[Viewership.RecordDate22]])</f>
        <v>42427</v>
      </c>
      <c r="O218" s="2">
        <v>0.76666666666666672</v>
      </c>
      <c r="P218" t="s">
        <v>200</v>
      </c>
      <c r="Q218">
        <v>771003</v>
      </c>
      <c r="R218" t="s">
        <v>20</v>
      </c>
    </row>
    <row r="219" spans="1:18" x14ac:dyDescent="0.25">
      <c r="A219">
        <v>808984</v>
      </c>
      <c r="B219" t="s">
        <v>103</v>
      </c>
      <c r="C219" t="s">
        <v>250</v>
      </c>
      <c r="D219" t="s">
        <v>420</v>
      </c>
      <c r="E219" t="s">
        <v>38</v>
      </c>
      <c r="F219" t="s">
        <v>96</v>
      </c>
      <c r="G219">
        <v>42</v>
      </c>
      <c r="H219" t="s">
        <v>60</v>
      </c>
      <c r="I219" t="s">
        <v>107</v>
      </c>
      <c r="J219">
        <v>808984</v>
      </c>
      <c r="K219" t="s">
        <v>421</v>
      </c>
      <c r="L219" s="1">
        <v>42419.748611111114</v>
      </c>
      <c r="M219" s="1">
        <v>42419</v>
      </c>
      <c r="N219" s="3">
        <f>INT(BrightTV_JoinedTablesnw_2026_04_16_23_55_09[[#This Row],[Viewership.RecordDate22]])</f>
        <v>42419</v>
      </c>
      <c r="O219" s="2">
        <v>0.74861111111111112</v>
      </c>
      <c r="P219" t="s">
        <v>302</v>
      </c>
      <c r="Q219">
        <v>808984</v>
      </c>
      <c r="R219" t="s">
        <v>20</v>
      </c>
    </row>
    <row r="220" spans="1:18" x14ac:dyDescent="0.25">
      <c r="A220">
        <v>771855</v>
      </c>
      <c r="B220" t="s">
        <v>422</v>
      </c>
      <c r="C220" t="s">
        <v>44</v>
      </c>
      <c r="D220" t="s">
        <v>423</v>
      </c>
      <c r="E220" t="s">
        <v>24</v>
      </c>
      <c r="F220" t="s">
        <v>39</v>
      </c>
      <c r="G220">
        <v>45</v>
      </c>
      <c r="H220" t="s">
        <v>280</v>
      </c>
      <c r="I220" t="s">
        <v>424</v>
      </c>
      <c r="J220">
        <v>771855</v>
      </c>
      <c r="K220" t="s">
        <v>129</v>
      </c>
      <c r="L220" s="1">
        <v>42419.135416666664</v>
      </c>
      <c r="M220" s="1">
        <v>42419</v>
      </c>
      <c r="N220" s="3">
        <f>INT(BrightTV_JoinedTablesnw_2026_04_16_23_55_09[[#This Row],[Viewership.RecordDate22]])</f>
        <v>42419</v>
      </c>
      <c r="O220" s="2">
        <v>0.13541666666666666</v>
      </c>
      <c r="P220" t="s">
        <v>425</v>
      </c>
      <c r="Q220">
        <v>771855</v>
      </c>
      <c r="R220" t="s">
        <v>20</v>
      </c>
    </row>
    <row r="221" spans="1:18" x14ac:dyDescent="0.25">
      <c r="A221">
        <v>733281</v>
      </c>
      <c r="B221" t="s">
        <v>93</v>
      </c>
      <c r="C221" t="s">
        <v>50</v>
      </c>
      <c r="D221" t="s">
        <v>95</v>
      </c>
      <c r="E221" t="s">
        <v>38</v>
      </c>
      <c r="F221" t="s">
        <v>39</v>
      </c>
      <c r="G221">
        <v>35</v>
      </c>
      <c r="H221" t="s">
        <v>40</v>
      </c>
      <c r="I221" t="s">
        <v>97</v>
      </c>
      <c r="J221">
        <v>733281</v>
      </c>
      <c r="K221" t="s">
        <v>77</v>
      </c>
      <c r="L221" s="1">
        <v>42395.756249999999</v>
      </c>
      <c r="M221" s="1">
        <v>42395</v>
      </c>
      <c r="N221" s="3">
        <f>INT(BrightTV_JoinedTablesnw_2026_04_16_23_55_09[[#This Row],[Viewership.RecordDate22]])</f>
        <v>42395</v>
      </c>
      <c r="O221" s="2">
        <v>0.75624999999999998</v>
      </c>
      <c r="P221" t="s">
        <v>114</v>
      </c>
      <c r="Q221">
        <v>733281</v>
      </c>
      <c r="R221" t="s">
        <v>20</v>
      </c>
    </row>
    <row r="222" spans="1:18" x14ac:dyDescent="0.25">
      <c r="A222">
        <v>771856</v>
      </c>
      <c r="B222" t="s">
        <v>426</v>
      </c>
      <c r="C222" t="s">
        <v>87</v>
      </c>
      <c r="D222" t="s">
        <v>427</v>
      </c>
      <c r="E222" t="s">
        <v>38</v>
      </c>
      <c r="F222" t="s">
        <v>16</v>
      </c>
      <c r="G222">
        <v>24</v>
      </c>
      <c r="H222" t="s">
        <v>52</v>
      </c>
      <c r="I222" t="s">
        <v>428</v>
      </c>
      <c r="J222">
        <v>771856</v>
      </c>
      <c r="K222" t="s">
        <v>77</v>
      </c>
      <c r="L222" s="1">
        <v>42406.477777777778</v>
      </c>
      <c r="M222" s="1">
        <v>42406</v>
      </c>
      <c r="N222" s="3">
        <f>INT(BrightTV_JoinedTablesnw_2026_04_16_23_55_09[[#This Row],[Viewership.RecordDate22]])</f>
        <v>42406</v>
      </c>
      <c r="O222" s="2">
        <v>0.4777777777777778</v>
      </c>
      <c r="P222" t="s">
        <v>429</v>
      </c>
      <c r="Q222">
        <v>771856</v>
      </c>
      <c r="R222" t="s">
        <v>20</v>
      </c>
    </row>
    <row r="223" spans="1:18" x14ac:dyDescent="0.25">
      <c r="A223">
        <v>808988</v>
      </c>
      <c r="B223" t="s">
        <v>223</v>
      </c>
      <c r="C223" t="s">
        <v>379</v>
      </c>
      <c r="D223" t="s">
        <v>430</v>
      </c>
      <c r="E223" t="s">
        <v>38</v>
      </c>
      <c r="F223" t="s">
        <v>39</v>
      </c>
      <c r="G223">
        <v>34</v>
      </c>
      <c r="H223" t="s">
        <v>40</v>
      </c>
      <c r="I223" t="s">
        <v>226</v>
      </c>
      <c r="J223">
        <v>808988</v>
      </c>
      <c r="K223" t="s">
        <v>169</v>
      </c>
      <c r="L223" s="1">
        <v>42420.65347222222</v>
      </c>
      <c r="M223" s="1">
        <v>42420</v>
      </c>
      <c r="N223" s="3">
        <f>INT(BrightTV_JoinedTablesnw_2026_04_16_23_55_09[[#This Row],[Viewership.RecordDate22]])</f>
        <v>42420</v>
      </c>
      <c r="O223" s="2">
        <v>0.65347222222222223</v>
      </c>
      <c r="P223" t="s">
        <v>264</v>
      </c>
      <c r="Q223">
        <v>808988</v>
      </c>
      <c r="R223" t="s">
        <v>20</v>
      </c>
    </row>
    <row r="224" spans="1:18" x14ac:dyDescent="0.25">
      <c r="A224">
        <v>808988</v>
      </c>
      <c r="B224" t="s">
        <v>223</v>
      </c>
      <c r="C224" t="s">
        <v>379</v>
      </c>
      <c r="D224" t="s">
        <v>430</v>
      </c>
      <c r="E224" t="s">
        <v>38</v>
      </c>
      <c r="F224" t="s">
        <v>39</v>
      </c>
      <c r="G224">
        <v>34</v>
      </c>
      <c r="H224" t="s">
        <v>40</v>
      </c>
      <c r="I224" t="s">
        <v>226</v>
      </c>
      <c r="J224">
        <v>808988</v>
      </c>
      <c r="K224" t="s">
        <v>47</v>
      </c>
      <c r="L224" s="1">
        <v>42420.741666666669</v>
      </c>
      <c r="M224" s="1">
        <v>42420</v>
      </c>
      <c r="N224" s="3">
        <f>INT(BrightTV_JoinedTablesnw_2026_04_16_23_55_09[[#This Row],[Viewership.RecordDate22]])</f>
        <v>42420</v>
      </c>
      <c r="O224" s="2">
        <v>0.7416666666666667</v>
      </c>
      <c r="P224" t="s">
        <v>431</v>
      </c>
      <c r="Q224">
        <v>808988</v>
      </c>
      <c r="R224" t="s">
        <v>20</v>
      </c>
    </row>
    <row r="225" spans="1:18" x14ac:dyDescent="0.25">
      <c r="A225">
        <v>808988</v>
      </c>
      <c r="B225" t="s">
        <v>223</v>
      </c>
      <c r="C225" t="s">
        <v>379</v>
      </c>
      <c r="D225" t="s">
        <v>430</v>
      </c>
      <c r="E225" t="s">
        <v>38</v>
      </c>
      <c r="F225" t="s">
        <v>39</v>
      </c>
      <c r="G225">
        <v>34</v>
      </c>
      <c r="H225" t="s">
        <v>40</v>
      </c>
      <c r="I225" t="s">
        <v>226</v>
      </c>
      <c r="J225">
        <v>808988</v>
      </c>
      <c r="K225" t="s">
        <v>32</v>
      </c>
      <c r="L225" s="1">
        <v>42421.001388888886</v>
      </c>
      <c r="M225" s="1">
        <v>42421</v>
      </c>
      <c r="N225" s="3">
        <f>INT(BrightTV_JoinedTablesnw_2026_04_16_23_55_09[[#This Row],[Viewership.RecordDate22]])</f>
        <v>42421</v>
      </c>
      <c r="O225" s="2">
        <v>1.3888888888888889E-3</v>
      </c>
      <c r="P225" t="s">
        <v>432</v>
      </c>
      <c r="Q225">
        <v>808988</v>
      </c>
      <c r="R225" t="s">
        <v>20</v>
      </c>
    </row>
    <row r="226" spans="1:18" x14ac:dyDescent="0.25">
      <c r="A226">
        <v>808988</v>
      </c>
      <c r="B226" t="s">
        <v>223</v>
      </c>
      <c r="C226" t="s">
        <v>379</v>
      </c>
      <c r="D226" t="s">
        <v>430</v>
      </c>
      <c r="E226" t="s">
        <v>38</v>
      </c>
      <c r="F226" t="s">
        <v>39</v>
      </c>
      <c r="G226">
        <v>34</v>
      </c>
      <c r="H226" t="s">
        <v>40</v>
      </c>
      <c r="I226" t="s">
        <v>226</v>
      </c>
      <c r="J226">
        <v>808988</v>
      </c>
      <c r="K226" t="s">
        <v>169</v>
      </c>
      <c r="L226" s="1">
        <v>42421.00277777778</v>
      </c>
      <c r="M226" s="1">
        <v>42421</v>
      </c>
      <c r="N226" s="3">
        <f>INT(BrightTV_JoinedTablesnw_2026_04_16_23_55_09[[#This Row],[Viewership.RecordDate22]])</f>
        <v>42421</v>
      </c>
      <c r="O226" s="2">
        <v>2.7777777777777779E-3</v>
      </c>
      <c r="P226" t="s">
        <v>401</v>
      </c>
      <c r="Q226">
        <v>808988</v>
      </c>
      <c r="R226" t="s">
        <v>20</v>
      </c>
    </row>
    <row r="227" spans="1:18" x14ac:dyDescent="0.25">
      <c r="A227">
        <v>730254</v>
      </c>
      <c r="B227" t="s">
        <v>402</v>
      </c>
      <c r="C227" t="s">
        <v>44</v>
      </c>
      <c r="D227" t="s">
        <v>433</v>
      </c>
      <c r="E227" t="s">
        <v>38</v>
      </c>
      <c r="F227" t="s">
        <v>39</v>
      </c>
      <c r="G227">
        <v>26</v>
      </c>
      <c r="H227" t="s">
        <v>40</v>
      </c>
      <c r="I227" t="s">
        <v>404</v>
      </c>
      <c r="J227">
        <v>730254</v>
      </c>
      <c r="K227" t="s">
        <v>32</v>
      </c>
      <c r="L227" s="1">
        <v>42390.459722222222</v>
      </c>
      <c r="M227" s="1">
        <v>42390</v>
      </c>
      <c r="N227" s="3">
        <f>INT(BrightTV_JoinedTablesnw_2026_04_16_23_55_09[[#This Row],[Viewership.RecordDate22]])</f>
        <v>42390</v>
      </c>
      <c r="O227" s="2">
        <v>0.4597222222222222</v>
      </c>
      <c r="P227" t="s">
        <v>434</v>
      </c>
      <c r="Q227">
        <v>730254</v>
      </c>
      <c r="R227" t="s">
        <v>20</v>
      </c>
    </row>
    <row r="228" spans="1:18" x14ac:dyDescent="0.25">
      <c r="A228">
        <v>771858</v>
      </c>
      <c r="B228" t="s">
        <v>122</v>
      </c>
      <c r="C228" t="s">
        <v>81</v>
      </c>
      <c r="D228" t="s">
        <v>435</v>
      </c>
      <c r="E228" t="s">
        <v>38</v>
      </c>
      <c r="F228" t="s">
        <v>25</v>
      </c>
      <c r="G228">
        <v>27</v>
      </c>
      <c r="H228" t="s">
        <v>40</v>
      </c>
      <c r="I228" t="s">
        <v>125</v>
      </c>
      <c r="J228">
        <v>771858</v>
      </c>
      <c r="K228" t="s">
        <v>47</v>
      </c>
      <c r="L228" s="1">
        <v>42434.567361111112</v>
      </c>
      <c r="M228" s="1">
        <v>42434</v>
      </c>
      <c r="N228" s="3">
        <f>INT(BrightTV_JoinedTablesnw_2026_04_16_23_55_09[[#This Row],[Viewership.RecordDate22]])</f>
        <v>42434</v>
      </c>
      <c r="O228" s="2">
        <v>0.56736111111111109</v>
      </c>
      <c r="P228" t="s">
        <v>436</v>
      </c>
      <c r="Q228">
        <v>771858</v>
      </c>
      <c r="R228" t="s">
        <v>20</v>
      </c>
    </row>
    <row r="229" spans="1:18" x14ac:dyDescent="0.25">
      <c r="A229">
        <v>808990</v>
      </c>
      <c r="B229" t="s">
        <v>437</v>
      </c>
      <c r="C229" t="s">
        <v>357</v>
      </c>
      <c r="D229" t="s">
        <v>438</v>
      </c>
      <c r="E229" t="s">
        <v>38</v>
      </c>
      <c r="F229" t="s">
        <v>96</v>
      </c>
      <c r="G229">
        <v>39</v>
      </c>
      <c r="H229" t="s">
        <v>60</v>
      </c>
      <c r="I229" t="s">
        <v>439</v>
      </c>
      <c r="J229">
        <v>808990</v>
      </c>
      <c r="K229" t="s">
        <v>18</v>
      </c>
      <c r="L229" s="1">
        <v>42424.449305555558</v>
      </c>
      <c r="M229" s="1">
        <v>42424</v>
      </c>
      <c r="N229" s="3">
        <f>INT(BrightTV_JoinedTablesnw_2026_04_16_23_55_09[[#This Row],[Viewership.RecordDate22]])</f>
        <v>42424</v>
      </c>
      <c r="O229" s="2">
        <v>0.44930555555555557</v>
      </c>
      <c r="P229" t="s">
        <v>278</v>
      </c>
      <c r="Q229">
        <v>808990</v>
      </c>
      <c r="R229" t="s">
        <v>20</v>
      </c>
    </row>
    <row r="230" spans="1:18" x14ac:dyDescent="0.25">
      <c r="A230">
        <v>778615</v>
      </c>
      <c r="B230" t="s">
        <v>16</v>
      </c>
      <c r="C230" t="s">
        <v>16</v>
      </c>
      <c r="D230" t="s">
        <v>440</v>
      </c>
      <c r="E230" t="s">
        <v>16</v>
      </c>
      <c r="F230" t="s">
        <v>16</v>
      </c>
      <c r="G230">
        <v>0</v>
      </c>
      <c r="H230" t="s">
        <v>16</v>
      </c>
      <c r="I230" t="s">
        <v>16</v>
      </c>
      <c r="J230">
        <v>778615</v>
      </c>
      <c r="K230" t="s">
        <v>32</v>
      </c>
      <c r="L230" s="1">
        <v>42441.739583333336</v>
      </c>
      <c r="M230" s="1">
        <v>42441</v>
      </c>
      <c r="N230" s="3">
        <f>INT(BrightTV_JoinedTablesnw_2026_04_16_23_55_09[[#This Row],[Viewership.RecordDate22]])</f>
        <v>42441</v>
      </c>
      <c r="O230" s="2">
        <v>0.73958333333333337</v>
      </c>
      <c r="P230" t="s">
        <v>341</v>
      </c>
      <c r="Q230">
        <v>778615</v>
      </c>
      <c r="R230" t="s">
        <v>20</v>
      </c>
    </row>
    <row r="231" spans="1:18" x14ac:dyDescent="0.25">
      <c r="A231">
        <v>771867</v>
      </c>
      <c r="B231" t="s">
        <v>441</v>
      </c>
      <c r="C231" t="s">
        <v>58</v>
      </c>
      <c r="D231" t="s">
        <v>442</v>
      </c>
      <c r="E231" t="s">
        <v>38</v>
      </c>
      <c r="F231" t="s">
        <v>39</v>
      </c>
      <c r="G231">
        <v>14</v>
      </c>
      <c r="H231" t="s">
        <v>40</v>
      </c>
      <c r="I231" t="s">
        <v>443</v>
      </c>
      <c r="J231">
        <v>771867</v>
      </c>
      <c r="K231" t="s">
        <v>169</v>
      </c>
      <c r="L231" s="1">
        <v>42405.319444444445</v>
      </c>
      <c r="M231" s="1">
        <v>42405</v>
      </c>
      <c r="N231" s="3">
        <f>INT(BrightTV_JoinedTablesnw_2026_04_16_23_55_09[[#This Row],[Viewership.RecordDate22]])</f>
        <v>42405</v>
      </c>
      <c r="O231" s="2">
        <v>0.31944444444444442</v>
      </c>
      <c r="P231" t="s">
        <v>444</v>
      </c>
      <c r="Q231">
        <v>771867</v>
      </c>
      <c r="R231" t="s">
        <v>20</v>
      </c>
    </row>
    <row r="232" spans="1:18" x14ac:dyDescent="0.25">
      <c r="A232">
        <v>771867</v>
      </c>
      <c r="B232" t="s">
        <v>441</v>
      </c>
      <c r="C232" t="s">
        <v>58</v>
      </c>
      <c r="D232" t="s">
        <v>442</v>
      </c>
      <c r="E232" t="s">
        <v>38</v>
      </c>
      <c r="F232" t="s">
        <v>39</v>
      </c>
      <c r="G232">
        <v>14</v>
      </c>
      <c r="H232" t="s">
        <v>40</v>
      </c>
      <c r="I232" t="s">
        <v>443</v>
      </c>
      <c r="J232">
        <v>771867</v>
      </c>
      <c r="K232" t="s">
        <v>77</v>
      </c>
      <c r="L232" s="1">
        <v>42431.00277777778</v>
      </c>
      <c r="M232" s="1">
        <v>42431</v>
      </c>
      <c r="N232" s="3">
        <f>INT(BrightTV_JoinedTablesnw_2026_04_16_23_55_09[[#This Row],[Viewership.RecordDate22]])</f>
        <v>42431</v>
      </c>
      <c r="O232" s="2">
        <v>2.7777777777777779E-3</v>
      </c>
      <c r="P232" t="s">
        <v>445</v>
      </c>
      <c r="Q232">
        <v>771867</v>
      </c>
      <c r="R232" t="s">
        <v>20</v>
      </c>
    </row>
    <row r="233" spans="1:18" x14ac:dyDescent="0.25">
      <c r="A233">
        <v>771867</v>
      </c>
      <c r="B233" t="s">
        <v>441</v>
      </c>
      <c r="C233" t="s">
        <v>58</v>
      </c>
      <c r="D233" t="s">
        <v>442</v>
      </c>
      <c r="E233" t="s">
        <v>38</v>
      </c>
      <c r="F233" t="s">
        <v>39</v>
      </c>
      <c r="G233">
        <v>14</v>
      </c>
      <c r="H233" t="s">
        <v>40</v>
      </c>
      <c r="I233" t="s">
        <v>443</v>
      </c>
      <c r="J233">
        <v>771867</v>
      </c>
      <c r="K233" t="s">
        <v>152</v>
      </c>
      <c r="L233" s="1">
        <v>42442.380555555559</v>
      </c>
      <c r="M233" s="1">
        <v>42442</v>
      </c>
      <c r="N233" s="3">
        <f>INT(BrightTV_JoinedTablesnw_2026_04_16_23_55_09[[#This Row],[Viewership.RecordDate22]])</f>
        <v>42442</v>
      </c>
      <c r="O233" s="2">
        <v>0.38055555555555554</v>
      </c>
      <c r="P233" t="s">
        <v>446</v>
      </c>
      <c r="Q233">
        <v>771867</v>
      </c>
      <c r="R233" t="s">
        <v>20</v>
      </c>
    </row>
    <row r="234" spans="1:18" x14ac:dyDescent="0.25">
      <c r="A234">
        <v>771867</v>
      </c>
      <c r="B234" t="s">
        <v>441</v>
      </c>
      <c r="C234" t="s">
        <v>58</v>
      </c>
      <c r="D234" t="s">
        <v>442</v>
      </c>
      <c r="E234" t="s">
        <v>38</v>
      </c>
      <c r="F234" t="s">
        <v>39</v>
      </c>
      <c r="G234">
        <v>14</v>
      </c>
      <c r="H234" t="s">
        <v>40</v>
      </c>
      <c r="I234" t="s">
        <v>443</v>
      </c>
      <c r="J234">
        <v>771867</v>
      </c>
      <c r="K234" t="s">
        <v>47</v>
      </c>
      <c r="L234" s="1">
        <v>42442.961805555555</v>
      </c>
      <c r="M234" s="1">
        <v>42442</v>
      </c>
      <c r="N234" s="3">
        <f>INT(BrightTV_JoinedTablesnw_2026_04_16_23_55_09[[#This Row],[Viewership.RecordDate22]])</f>
        <v>42442</v>
      </c>
      <c r="O234" s="2">
        <v>0.96180555555555558</v>
      </c>
      <c r="P234" t="s">
        <v>64</v>
      </c>
      <c r="Q234">
        <v>771867</v>
      </c>
      <c r="R234" t="s">
        <v>20</v>
      </c>
    </row>
    <row r="235" spans="1:18" x14ac:dyDescent="0.25">
      <c r="A235">
        <v>771867</v>
      </c>
      <c r="B235" t="s">
        <v>441</v>
      </c>
      <c r="C235" t="s">
        <v>58</v>
      </c>
      <c r="D235" t="s">
        <v>442</v>
      </c>
      <c r="E235" t="s">
        <v>38</v>
      </c>
      <c r="F235" t="s">
        <v>39</v>
      </c>
      <c r="G235">
        <v>14</v>
      </c>
      <c r="H235" t="s">
        <v>40</v>
      </c>
      <c r="I235" t="s">
        <v>443</v>
      </c>
      <c r="J235">
        <v>771867</v>
      </c>
      <c r="K235" t="s">
        <v>54</v>
      </c>
      <c r="L235" s="1">
        <v>42400.779166666667</v>
      </c>
      <c r="M235" s="1">
        <v>42400</v>
      </c>
      <c r="N235" s="3">
        <f>INT(BrightTV_JoinedTablesnw_2026_04_16_23_55_09[[#This Row],[Viewership.RecordDate22]])</f>
        <v>42400</v>
      </c>
      <c r="O235" s="2">
        <v>0.77916666666666667</v>
      </c>
      <c r="P235" t="s">
        <v>324</v>
      </c>
      <c r="Q235">
        <v>771867</v>
      </c>
      <c r="R235" t="s">
        <v>20</v>
      </c>
    </row>
    <row r="236" spans="1:18" x14ac:dyDescent="0.25">
      <c r="A236">
        <v>771867</v>
      </c>
      <c r="B236" t="s">
        <v>441</v>
      </c>
      <c r="C236" t="s">
        <v>58</v>
      </c>
      <c r="D236" t="s">
        <v>442</v>
      </c>
      <c r="E236" t="s">
        <v>38</v>
      </c>
      <c r="F236" t="s">
        <v>39</v>
      </c>
      <c r="G236">
        <v>14</v>
      </c>
      <c r="H236" t="s">
        <v>40</v>
      </c>
      <c r="I236" t="s">
        <v>443</v>
      </c>
      <c r="J236">
        <v>771867</v>
      </c>
      <c r="K236" t="s">
        <v>169</v>
      </c>
      <c r="L236" s="1">
        <v>42386.788888888892</v>
      </c>
      <c r="M236" s="1">
        <v>42386</v>
      </c>
      <c r="N236" s="3">
        <f>INT(BrightTV_JoinedTablesnw_2026_04_16_23_55_09[[#This Row],[Viewership.RecordDate22]])</f>
        <v>42386</v>
      </c>
      <c r="O236" s="2">
        <v>0.78888888888888886</v>
      </c>
      <c r="P236" t="s">
        <v>200</v>
      </c>
      <c r="Q236">
        <v>771867</v>
      </c>
      <c r="R236" t="s">
        <v>20</v>
      </c>
    </row>
    <row r="237" spans="1:18" x14ac:dyDescent="0.25">
      <c r="A237">
        <v>771867</v>
      </c>
      <c r="B237" t="s">
        <v>441</v>
      </c>
      <c r="C237" t="s">
        <v>58</v>
      </c>
      <c r="D237" t="s">
        <v>442</v>
      </c>
      <c r="E237" t="s">
        <v>38</v>
      </c>
      <c r="F237" t="s">
        <v>39</v>
      </c>
      <c r="G237">
        <v>14</v>
      </c>
      <c r="H237" t="s">
        <v>40</v>
      </c>
      <c r="I237" t="s">
        <v>443</v>
      </c>
      <c r="J237">
        <v>771867</v>
      </c>
      <c r="K237" t="s">
        <v>47</v>
      </c>
      <c r="L237" s="1">
        <v>42391.676388888889</v>
      </c>
      <c r="M237" s="1">
        <v>42391</v>
      </c>
      <c r="N237" s="3">
        <f>INT(BrightTV_JoinedTablesnw_2026_04_16_23_55_09[[#This Row],[Viewership.RecordDate22]])</f>
        <v>42391</v>
      </c>
      <c r="O237" s="2">
        <v>0.67638888888888893</v>
      </c>
      <c r="P237" t="s">
        <v>447</v>
      </c>
      <c r="Q237">
        <v>771867</v>
      </c>
      <c r="R237" t="s">
        <v>20</v>
      </c>
    </row>
    <row r="238" spans="1:18" x14ac:dyDescent="0.25">
      <c r="A238">
        <v>771867</v>
      </c>
      <c r="B238" t="s">
        <v>441</v>
      </c>
      <c r="C238" t="s">
        <v>58</v>
      </c>
      <c r="D238" t="s">
        <v>442</v>
      </c>
      <c r="E238" t="s">
        <v>38</v>
      </c>
      <c r="F238" t="s">
        <v>39</v>
      </c>
      <c r="G238">
        <v>14</v>
      </c>
      <c r="H238" t="s">
        <v>40</v>
      </c>
      <c r="I238" t="s">
        <v>443</v>
      </c>
      <c r="J238">
        <v>771867</v>
      </c>
      <c r="K238" t="s">
        <v>129</v>
      </c>
      <c r="L238" s="1">
        <v>42399.888888888891</v>
      </c>
      <c r="M238" s="1">
        <v>42399</v>
      </c>
      <c r="N238" s="3">
        <f>INT(BrightTV_JoinedTablesnw_2026_04_16_23_55_09[[#This Row],[Viewership.RecordDate22]])</f>
        <v>42399</v>
      </c>
      <c r="O238" s="2">
        <v>0.88888888888888884</v>
      </c>
      <c r="P238" t="s">
        <v>448</v>
      </c>
      <c r="Q238">
        <v>771867</v>
      </c>
      <c r="R238" t="s">
        <v>20</v>
      </c>
    </row>
    <row r="239" spans="1:18" x14ac:dyDescent="0.25">
      <c r="A239">
        <v>771867</v>
      </c>
      <c r="B239" t="s">
        <v>441</v>
      </c>
      <c r="C239" t="s">
        <v>58</v>
      </c>
      <c r="D239" t="s">
        <v>442</v>
      </c>
      <c r="E239" t="s">
        <v>38</v>
      </c>
      <c r="F239" t="s">
        <v>39</v>
      </c>
      <c r="G239">
        <v>14</v>
      </c>
      <c r="H239" t="s">
        <v>40</v>
      </c>
      <c r="I239" t="s">
        <v>443</v>
      </c>
      <c r="J239">
        <v>771867</v>
      </c>
      <c r="K239" t="s">
        <v>129</v>
      </c>
      <c r="L239" s="1">
        <v>42387.758333333331</v>
      </c>
      <c r="M239" s="1">
        <v>42387</v>
      </c>
      <c r="N239" s="3">
        <f>INT(BrightTV_JoinedTablesnw_2026_04_16_23_55_09[[#This Row],[Viewership.RecordDate22]])</f>
        <v>42387</v>
      </c>
      <c r="O239" s="2">
        <v>0.7583333333333333</v>
      </c>
      <c r="P239" t="s">
        <v>449</v>
      </c>
      <c r="Q239">
        <v>771867</v>
      </c>
      <c r="R239" t="s">
        <v>20</v>
      </c>
    </row>
    <row r="240" spans="1:18" x14ac:dyDescent="0.25">
      <c r="A240">
        <v>771867</v>
      </c>
      <c r="B240" t="s">
        <v>441</v>
      </c>
      <c r="C240" t="s">
        <v>58</v>
      </c>
      <c r="D240" t="s">
        <v>442</v>
      </c>
      <c r="E240" t="s">
        <v>38</v>
      </c>
      <c r="F240" t="s">
        <v>39</v>
      </c>
      <c r="G240">
        <v>14</v>
      </c>
      <c r="H240" t="s">
        <v>40</v>
      </c>
      <c r="I240" t="s">
        <v>443</v>
      </c>
      <c r="J240">
        <v>771867</v>
      </c>
      <c r="K240" t="s">
        <v>129</v>
      </c>
      <c r="L240" s="1">
        <v>42460.831250000003</v>
      </c>
      <c r="M240" s="1">
        <v>42460</v>
      </c>
      <c r="N240" s="3">
        <f>INT(BrightTV_JoinedTablesnw_2026_04_16_23_55_09[[#This Row],[Viewership.RecordDate22]])</f>
        <v>42460</v>
      </c>
      <c r="O240" s="2">
        <v>0.83125000000000004</v>
      </c>
      <c r="P240" t="s">
        <v>450</v>
      </c>
      <c r="Q240">
        <v>771867</v>
      </c>
      <c r="R240" t="s">
        <v>20</v>
      </c>
    </row>
    <row r="241" spans="1:18" x14ac:dyDescent="0.25">
      <c r="A241">
        <v>18072</v>
      </c>
      <c r="B241" t="s">
        <v>86</v>
      </c>
      <c r="C241" t="s">
        <v>243</v>
      </c>
      <c r="D241" t="s">
        <v>451</v>
      </c>
      <c r="E241" t="s">
        <v>38</v>
      </c>
      <c r="F241" t="s">
        <v>25</v>
      </c>
      <c r="G241">
        <v>37</v>
      </c>
      <c r="H241" t="s">
        <v>60</v>
      </c>
      <c r="I241" t="s">
        <v>90</v>
      </c>
      <c r="J241">
        <v>18072</v>
      </c>
      <c r="K241" t="s">
        <v>84</v>
      </c>
      <c r="L241" s="1">
        <v>42385.79791666667</v>
      </c>
      <c r="M241" s="1">
        <v>42385</v>
      </c>
      <c r="N241" s="3">
        <f>INT(BrightTV_JoinedTablesnw_2026_04_16_23_55_09[[#This Row],[Viewership.RecordDate22]])</f>
        <v>42385</v>
      </c>
      <c r="O241" s="2">
        <v>0.79791666666666672</v>
      </c>
      <c r="P241" t="s">
        <v>452</v>
      </c>
      <c r="Q241">
        <v>18072</v>
      </c>
      <c r="R241" t="s">
        <v>20</v>
      </c>
    </row>
    <row r="242" spans="1:18" x14ac:dyDescent="0.25">
      <c r="A242">
        <v>27318</v>
      </c>
      <c r="B242" t="s">
        <v>16</v>
      </c>
      <c r="C242" t="s">
        <v>16</v>
      </c>
      <c r="D242" t="s">
        <v>453</v>
      </c>
      <c r="E242" t="s">
        <v>16</v>
      </c>
      <c r="F242" t="s">
        <v>16</v>
      </c>
      <c r="G242">
        <v>0</v>
      </c>
      <c r="H242" t="s">
        <v>16</v>
      </c>
      <c r="I242" t="s">
        <v>16</v>
      </c>
      <c r="J242">
        <v>27318</v>
      </c>
      <c r="K242" t="s">
        <v>18</v>
      </c>
      <c r="L242" s="1">
        <v>42455.866666666669</v>
      </c>
      <c r="M242" s="1">
        <v>42455</v>
      </c>
      <c r="N242" s="3">
        <f>INT(BrightTV_JoinedTablesnw_2026_04_16_23_55_09[[#This Row],[Viewership.RecordDate22]])</f>
        <v>42455</v>
      </c>
      <c r="O242" s="2">
        <v>0.8666666666666667</v>
      </c>
      <c r="P242" t="s">
        <v>286</v>
      </c>
      <c r="Q242">
        <v>27318</v>
      </c>
      <c r="R242" t="s">
        <v>20</v>
      </c>
    </row>
    <row r="243" spans="1:18" x14ac:dyDescent="0.25">
      <c r="A243">
        <v>779442</v>
      </c>
      <c r="B243" t="s">
        <v>454</v>
      </c>
      <c r="C243" t="s">
        <v>379</v>
      </c>
      <c r="D243" t="s">
        <v>455</v>
      </c>
      <c r="E243" t="s">
        <v>24</v>
      </c>
      <c r="F243" t="s">
        <v>39</v>
      </c>
      <c r="G243">
        <v>31</v>
      </c>
      <c r="H243" t="s">
        <v>252</v>
      </c>
      <c r="I243" t="s">
        <v>456</v>
      </c>
      <c r="J243">
        <v>779442</v>
      </c>
      <c r="K243" t="s">
        <v>186</v>
      </c>
      <c r="L243" s="1">
        <v>42387.995833333334</v>
      </c>
      <c r="M243" s="1">
        <v>42387</v>
      </c>
      <c r="N243" s="3">
        <f>INT(BrightTV_JoinedTablesnw_2026_04_16_23_55_09[[#This Row],[Viewership.RecordDate22]])</f>
        <v>42387</v>
      </c>
      <c r="O243" s="2">
        <v>0.99583333333333335</v>
      </c>
      <c r="P243" t="s">
        <v>64</v>
      </c>
      <c r="Q243">
        <v>779442</v>
      </c>
      <c r="R243" t="s">
        <v>20</v>
      </c>
    </row>
    <row r="244" spans="1:18" x14ac:dyDescent="0.25">
      <c r="A244">
        <v>779442</v>
      </c>
      <c r="B244" t="s">
        <v>454</v>
      </c>
      <c r="C244" t="s">
        <v>379</v>
      </c>
      <c r="D244" t="s">
        <v>455</v>
      </c>
      <c r="E244" t="s">
        <v>24</v>
      </c>
      <c r="F244" t="s">
        <v>39</v>
      </c>
      <c r="G244">
        <v>31</v>
      </c>
      <c r="H244" t="s">
        <v>252</v>
      </c>
      <c r="I244" t="s">
        <v>456</v>
      </c>
      <c r="J244">
        <v>779442</v>
      </c>
      <c r="K244" t="s">
        <v>32</v>
      </c>
      <c r="L244" s="1">
        <v>42388.00277777778</v>
      </c>
      <c r="M244" s="1">
        <v>42388</v>
      </c>
      <c r="N244" s="3">
        <f>INT(BrightTV_JoinedTablesnw_2026_04_16_23_55_09[[#This Row],[Viewership.RecordDate22]])</f>
        <v>42388</v>
      </c>
      <c r="O244" s="2">
        <v>2.7777777777777779E-3</v>
      </c>
      <c r="P244" t="s">
        <v>200</v>
      </c>
      <c r="Q244">
        <v>779442</v>
      </c>
      <c r="R244" t="s">
        <v>20</v>
      </c>
    </row>
    <row r="245" spans="1:18" x14ac:dyDescent="0.25">
      <c r="A245">
        <v>779442</v>
      </c>
      <c r="B245" t="s">
        <v>454</v>
      </c>
      <c r="C245" t="s">
        <v>379</v>
      </c>
      <c r="D245" t="s">
        <v>455</v>
      </c>
      <c r="E245" t="s">
        <v>24</v>
      </c>
      <c r="F245" t="s">
        <v>39</v>
      </c>
      <c r="G245">
        <v>31</v>
      </c>
      <c r="H245" t="s">
        <v>252</v>
      </c>
      <c r="I245" t="s">
        <v>456</v>
      </c>
      <c r="J245">
        <v>779442</v>
      </c>
      <c r="K245" t="s">
        <v>32</v>
      </c>
      <c r="L245" s="1">
        <v>42391.675694444442</v>
      </c>
      <c r="M245" s="1">
        <v>42391</v>
      </c>
      <c r="N245" s="3">
        <f>INT(BrightTV_JoinedTablesnw_2026_04_16_23_55_09[[#This Row],[Viewership.RecordDate22]])</f>
        <v>42391</v>
      </c>
      <c r="O245" s="2">
        <v>0.67569444444444449</v>
      </c>
      <c r="P245" t="s">
        <v>457</v>
      </c>
      <c r="Q245">
        <v>779442</v>
      </c>
      <c r="R245" t="s">
        <v>20</v>
      </c>
    </row>
    <row r="246" spans="1:18" x14ac:dyDescent="0.25">
      <c r="A246">
        <v>39353</v>
      </c>
      <c r="B246" t="s">
        <v>16</v>
      </c>
      <c r="C246" t="s">
        <v>16</v>
      </c>
      <c r="D246" t="s">
        <v>458</v>
      </c>
      <c r="E246" t="s">
        <v>16</v>
      </c>
      <c r="F246" t="s">
        <v>16</v>
      </c>
      <c r="G246">
        <v>0</v>
      </c>
      <c r="H246" t="s">
        <v>16</v>
      </c>
      <c r="I246" t="s">
        <v>16</v>
      </c>
      <c r="J246">
        <v>39353</v>
      </c>
      <c r="K246" t="s">
        <v>77</v>
      </c>
      <c r="L246" s="1">
        <v>42374.162499999999</v>
      </c>
      <c r="M246" s="1">
        <v>42374</v>
      </c>
      <c r="N246" s="3">
        <f>INT(BrightTV_JoinedTablesnw_2026_04_16_23_55_09[[#This Row],[Viewership.RecordDate22]])</f>
        <v>42374</v>
      </c>
      <c r="O246" s="2">
        <v>0.16250000000000001</v>
      </c>
      <c r="P246" t="s">
        <v>459</v>
      </c>
      <c r="Q246">
        <v>39353</v>
      </c>
      <c r="R246" t="s">
        <v>20</v>
      </c>
    </row>
    <row r="247" spans="1:18" x14ac:dyDescent="0.25">
      <c r="A247">
        <v>45769</v>
      </c>
      <c r="B247" t="s">
        <v>16</v>
      </c>
      <c r="C247" t="s">
        <v>16</v>
      </c>
      <c r="D247" t="s">
        <v>460</v>
      </c>
      <c r="E247" t="s">
        <v>16</v>
      </c>
      <c r="F247" t="s">
        <v>16</v>
      </c>
      <c r="G247">
        <v>0</v>
      </c>
      <c r="H247" t="s">
        <v>16</v>
      </c>
      <c r="I247" t="s">
        <v>16</v>
      </c>
      <c r="J247">
        <v>45769</v>
      </c>
      <c r="K247" t="s">
        <v>18</v>
      </c>
      <c r="L247" s="1">
        <v>42441.561111111114</v>
      </c>
      <c r="M247" s="1">
        <v>42441</v>
      </c>
      <c r="N247" s="3">
        <f>INT(BrightTV_JoinedTablesnw_2026_04_16_23_55_09[[#This Row],[Viewership.RecordDate22]])</f>
        <v>42441</v>
      </c>
      <c r="O247" s="2">
        <v>0.56111111111111112</v>
      </c>
      <c r="P247" t="s">
        <v>461</v>
      </c>
      <c r="Q247">
        <v>45769</v>
      </c>
      <c r="R247" t="s">
        <v>20</v>
      </c>
    </row>
    <row r="248" spans="1:18" x14ac:dyDescent="0.25">
      <c r="A248">
        <v>808997</v>
      </c>
      <c r="B248" t="s">
        <v>147</v>
      </c>
      <c r="C248" t="s">
        <v>271</v>
      </c>
      <c r="D248" t="s">
        <v>462</v>
      </c>
      <c r="E248" t="s">
        <v>38</v>
      </c>
      <c r="F248" t="s">
        <v>39</v>
      </c>
      <c r="G248">
        <v>27</v>
      </c>
      <c r="H248" t="s">
        <v>138</v>
      </c>
      <c r="I248" t="s">
        <v>150</v>
      </c>
      <c r="J248">
        <v>808997</v>
      </c>
      <c r="K248" t="s">
        <v>77</v>
      </c>
      <c r="L248" s="1">
        <v>42419.52847222222</v>
      </c>
      <c r="M248" s="1">
        <v>42419</v>
      </c>
      <c r="N248" s="3">
        <f>INT(BrightTV_JoinedTablesnw_2026_04_16_23_55_09[[#This Row],[Viewership.RecordDate22]])</f>
        <v>42419</v>
      </c>
      <c r="O248" s="2">
        <v>0.52847222222222223</v>
      </c>
      <c r="P248" t="s">
        <v>463</v>
      </c>
      <c r="Q248">
        <v>808997</v>
      </c>
      <c r="R248" t="s">
        <v>20</v>
      </c>
    </row>
    <row r="249" spans="1:18" x14ac:dyDescent="0.25">
      <c r="A249">
        <v>808997</v>
      </c>
      <c r="B249" t="s">
        <v>147</v>
      </c>
      <c r="C249" t="s">
        <v>271</v>
      </c>
      <c r="D249" t="s">
        <v>462</v>
      </c>
      <c r="E249" t="s">
        <v>38</v>
      </c>
      <c r="F249" t="s">
        <v>39</v>
      </c>
      <c r="G249">
        <v>27</v>
      </c>
      <c r="H249" t="s">
        <v>138</v>
      </c>
      <c r="I249" t="s">
        <v>150</v>
      </c>
      <c r="J249">
        <v>808997</v>
      </c>
      <c r="K249" t="s">
        <v>32</v>
      </c>
      <c r="L249" s="1">
        <v>42419.852083333331</v>
      </c>
      <c r="M249" s="1">
        <v>42419</v>
      </c>
      <c r="N249" s="3">
        <f>INT(BrightTV_JoinedTablesnw_2026_04_16_23_55_09[[#This Row],[Viewership.RecordDate22]])</f>
        <v>42419</v>
      </c>
      <c r="O249" s="2">
        <v>0.8520833333333333</v>
      </c>
      <c r="P249" t="s">
        <v>64</v>
      </c>
      <c r="Q249">
        <v>808997</v>
      </c>
      <c r="R249" t="s">
        <v>20</v>
      </c>
    </row>
    <row r="250" spans="1:18" x14ac:dyDescent="0.25">
      <c r="A250">
        <v>808997</v>
      </c>
      <c r="B250" t="s">
        <v>147</v>
      </c>
      <c r="C250" t="s">
        <v>271</v>
      </c>
      <c r="D250" t="s">
        <v>462</v>
      </c>
      <c r="E250" t="s">
        <v>38</v>
      </c>
      <c r="F250" t="s">
        <v>39</v>
      </c>
      <c r="G250">
        <v>27</v>
      </c>
      <c r="H250" t="s">
        <v>138</v>
      </c>
      <c r="I250" t="s">
        <v>150</v>
      </c>
      <c r="J250">
        <v>808997</v>
      </c>
      <c r="K250" t="s">
        <v>32</v>
      </c>
      <c r="L250" s="1">
        <v>42451.272916666669</v>
      </c>
      <c r="M250" s="1">
        <v>42451</v>
      </c>
      <c r="N250" s="3">
        <f>INT(BrightTV_JoinedTablesnw_2026_04_16_23_55_09[[#This Row],[Viewership.RecordDate22]])</f>
        <v>42451</v>
      </c>
      <c r="O250" s="2">
        <v>0.27291666666666664</v>
      </c>
      <c r="P250" t="s">
        <v>464</v>
      </c>
      <c r="Q250">
        <v>808997</v>
      </c>
      <c r="R250" t="s">
        <v>20</v>
      </c>
    </row>
    <row r="251" spans="1:18" x14ac:dyDescent="0.25">
      <c r="A251">
        <v>808997</v>
      </c>
      <c r="B251" t="s">
        <v>147</v>
      </c>
      <c r="C251" t="s">
        <v>271</v>
      </c>
      <c r="D251" t="s">
        <v>462</v>
      </c>
      <c r="E251" t="s">
        <v>38</v>
      </c>
      <c r="F251" t="s">
        <v>39</v>
      </c>
      <c r="G251">
        <v>27</v>
      </c>
      <c r="H251" t="s">
        <v>138</v>
      </c>
      <c r="I251" t="s">
        <v>150</v>
      </c>
      <c r="J251">
        <v>808997</v>
      </c>
      <c r="K251" t="s">
        <v>32</v>
      </c>
      <c r="L251" s="1">
        <v>42425.308333333334</v>
      </c>
      <c r="M251" s="1">
        <v>42425</v>
      </c>
      <c r="N251" s="3">
        <f>INT(BrightTV_JoinedTablesnw_2026_04_16_23_55_09[[#This Row],[Viewership.RecordDate22]])</f>
        <v>42425</v>
      </c>
      <c r="O251" s="2">
        <v>0.30833333333333335</v>
      </c>
      <c r="P251" t="s">
        <v>465</v>
      </c>
      <c r="Q251">
        <v>808997</v>
      </c>
      <c r="R251" t="s">
        <v>20</v>
      </c>
    </row>
    <row r="252" spans="1:18" x14ac:dyDescent="0.25">
      <c r="A252">
        <v>808997</v>
      </c>
      <c r="B252" t="s">
        <v>147</v>
      </c>
      <c r="C252" t="s">
        <v>271</v>
      </c>
      <c r="D252" t="s">
        <v>462</v>
      </c>
      <c r="E252" t="s">
        <v>38</v>
      </c>
      <c r="F252" t="s">
        <v>39</v>
      </c>
      <c r="G252">
        <v>27</v>
      </c>
      <c r="H252" t="s">
        <v>138</v>
      </c>
      <c r="I252" t="s">
        <v>150</v>
      </c>
      <c r="J252">
        <v>808997</v>
      </c>
      <c r="K252" t="s">
        <v>32</v>
      </c>
      <c r="L252" s="1">
        <v>42396.341666666667</v>
      </c>
      <c r="M252" s="1">
        <v>42396</v>
      </c>
      <c r="N252" s="3">
        <f>INT(BrightTV_JoinedTablesnw_2026_04_16_23_55_09[[#This Row],[Viewership.RecordDate22]])</f>
        <v>42396</v>
      </c>
      <c r="O252" s="2">
        <v>0.34166666666666667</v>
      </c>
      <c r="P252" t="s">
        <v>63</v>
      </c>
      <c r="Q252">
        <v>808997</v>
      </c>
      <c r="R252" t="s">
        <v>20</v>
      </c>
    </row>
    <row r="253" spans="1:18" x14ac:dyDescent="0.25">
      <c r="A253">
        <v>808997</v>
      </c>
      <c r="B253" t="s">
        <v>147</v>
      </c>
      <c r="C253" t="s">
        <v>271</v>
      </c>
      <c r="D253" t="s">
        <v>462</v>
      </c>
      <c r="E253" t="s">
        <v>38</v>
      </c>
      <c r="F253" t="s">
        <v>39</v>
      </c>
      <c r="G253">
        <v>27</v>
      </c>
      <c r="H253" t="s">
        <v>138</v>
      </c>
      <c r="I253" t="s">
        <v>150</v>
      </c>
      <c r="J253">
        <v>808997</v>
      </c>
      <c r="K253" t="s">
        <v>32</v>
      </c>
      <c r="L253" s="1">
        <v>42401.287499999999</v>
      </c>
      <c r="M253" s="1">
        <v>42401</v>
      </c>
      <c r="N253" s="3">
        <f>INT(BrightTV_JoinedTablesnw_2026_04_16_23_55_09[[#This Row],[Viewership.RecordDate22]])</f>
        <v>42401</v>
      </c>
      <c r="O253" s="2">
        <v>0.28749999999999998</v>
      </c>
      <c r="P253" t="s">
        <v>466</v>
      </c>
      <c r="Q253">
        <v>808997</v>
      </c>
      <c r="R253" t="s">
        <v>20</v>
      </c>
    </row>
    <row r="254" spans="1:18" x14ac:dyDescent="0.25">
      <c r="A254">
        <v>69889</v>
      </c>
      <c r="B254" t="s">
        <v>122</v>
      </c>
      <c r="C254" t="s">
        <v>36</v>
      </c>
      <c r="D254" t="s">
        <v>467</v>
      </c>
      <c r="E254" t="s">
        <v>38</v>
      </c>
      <c r="F254" t="s">
        <v>96</v>
      </c>
      <c r="G254">
        <v>33</v>
      </c>
      <c r="H254" t="s">
        <v>60</v>
      </c>
      <c r="I254" t="s">
        <v>125</v>
      </c>
      <c r="J254">
        <v>69889</v>
      </c>
      <c r="K254" t="s">
        <v>30</v>
      </c>
      <c r="L254" s="1">
        <v>42435.82916666667</v>
      </c>
      <c r="M254" s="1">
        <v>42435</v>
      </c>
      <c r="N254" s="3">
        <f>INT(BrightTV_JoinedTablesnw_2026_04_16_23_55_09[[#This Row],[Viewership.RecordDate22]])</f>
        <v>42435</v>
      </c>
      <c r="O254" s="2">
        <v>0.82916666666666672</v>
      </c>
      <c r="P254" t="s">
        <v>468</v>
      </c>
      <c r="Q254">
        <v>69889</v>
      </c>
      <c r="R254" t="s">
        <v>20</v>
      </c>
    </row>
    <row r="255" spans="1:18" x14ac:dyDescent="0.25">
      <c r="A255">
        <v>71491</v>
      </c>
      <c r="B255" t="s">
        <v>72</v>
      </c>
      <c r="C255" t="s">
        <v>166</v>
      </c>
      <c r="D255" t="s">
        <v>469</v>
      </c>
      <c r="E255" t="s">
        <v>38</v>
      </c>
      <c r="F255" t="s">
        <v>89</v>
      </c>
      <c r="G255">
        <v>25</v>
      </c>
      <c r="H255" t="s">
        <v>40</v>
      </c>
      <c r="I255" t="s">
        <v>76</v>
      </c>
      <c r="J255">
        <v>71491</v>
      </c>
      <c r="K255" t="s">
        <v>169</v>
      </c>
      <c r="L255" s="1">
        <v>42454.786805555559</v>
      </c>
      <c r="M255" s="1">
        <v>42454</v>
      </c>
      <c r="N255" s="3">
        <f>INT(BrightTV_JoinedTablesnw_2026_04_16_23_55_09[[#This Row],[Viewership.RecordDate22]])</f>
        <v>42454</v>
      </c>
      <c r="O255" s="2">
        <v>0.78680555555555554</v>
      </c>
      <c r="P255" t="s">
        <v>215</v>
      </c>
      <c r="Q255">
        <v>71491</v>
      </c>
      <c r="R255" t="s">
        <v>20</v>
      </c>
    </row>
    <row r="256" spans="1:18" x14ac:dyDescent="0.25">
      <c r="A256">
        <v>71491</v>
      </c>
      <c r="B256" t="s">
        <v>72</v>
      </c>
      <c r="C256" t="s">
        <v>166</v>
      </c>
      <c r="D256" t="s">
        <v>469</v>
      </c>
      <c r="E256" t="s">
        <v>38</v>
      </c>
      <c r="F256" t="s">
        <v>89</v>
      </c>
      <c r="G256">
        <v>25</v>
      </c>
      <c r="H256" t="s">
        <v>40</v>
      </c>
      <c r="I256" t="s">
        <v>76</v>
      </c>
      <c r="J256">
        <v>71491</v>
      </c>
      <c r="K256" t="s">
        <v>77</v>
      </c>
      <c r="L256" s="1">
        <v>42455.376388888886</v>
      </c>
      <c r="M256" s="1">
        <v>42455</v>
      </c>
      <c r="N256" s="3">
        <f>INT(BrightTV_JoinedTablesnw_2026_04_16_23_55_09[[#This Row],[Viewership.RecordDate22]])</f>
        <v>42455</v>
      </c>
      <c r="O256" s="2">
        <v>0.37638888888888888</v>
      </c>
      <c r="P256" t="s">
        <v>114</v>
      </c>
      <c r="Q256">
        <v>71491</v>
      </c>
      <c r="R256" t="s">
        <v>20</v>
      </c>
    </row>
    <row r="257" spans="1:18" x14ac:dyDescent="0.25">
      <c r="A257">
        <v>82389</v>
      </c>
      <c r="B257" t="s">
        <v>16</v>
      </c>
      <c r="C257" t="s">
        <v>16</v>
      </c>
      <c r="D257" t="s">
        <v>470</v>
      </c>
      <c r="E257" t="s">
        <v>16</v>
      </c>
      <c r="F257" t="s">
        <v>16</v>
      </c>
      <c r="G257">
        <v>0</v>
      </c>
      <c r="H257" t="s">
        <v>16</v>
      </c>
      <c r="I257" t="s">
        <v>16</v>
      </c>
      <c r="J257">
        <v>82389</v>
      </c>
      <c r="K257" t="s">
        <v>186</v>
      </c>
      <c r="L257" s="1">
        <v>42377.564583333333</v>
      </c>
      <c r="M257" s="1">
        <v>42377</v>
      </c>
      <c r="N257" s="3">
        <f>INT(BrightTV_JoinedTablesnw_2026_04_16_23_55_09[[#This Row],[Viewership.RecordDate22]])</f>
        <v>42377</v>
      </c>
      <c r="O257" s="2">
        <v>0.56458333333333333</v>
      </c>
      <c r="P257" t="s">
        <v>471</v>
      </c>
      <c r="Q257">
        <v>82389</v>
      </c>
      <c r="R257" t="s">
        <v>20</v>
      </c>
    </row>
    <row r="258" spans="1:18" x14ac:dyDescent="0.25">
      <c r="A258">
        <v>82780</v>
      </c>
      <c r="B258" t="s">
        <v>16</v>
      </c>
      <c r="C258" t="s">
        <v>16</v>
      </c>
      <c r="D258" t="s">
        <v>472</v>
      </c>
      <c r="E258" t="s">
        <v>16</v>
      </c>
      <c r="F258" t="s">
        <v>16</v>
      </c>
      <c r="G258">
        <v>0</v>
      </c>
      <c r="H258" t="s">
        <v>16</v>
      </c>
      <c r="I258" t="s">
        <v>16</v>
      </c>
      <c r="J258">
        <v>82780</v>
      </c>
      <c r="K258" t="s">
        <v>32</v>
      </c>
      <c r="L258" s="1">
        <v>42455.370833333334</v>
      </c>
      <c r="M258" s="1">
        <v>42455</v>
      </c>
      <c r="N258" s="3">
        <f>INT(BrightTV_JoinedTablesnw_2026_04_16_23_55_09[[#This Row],[Viewership.RecordDate22]])</f>
        <v>42455</v>
      </c>
      <c r="O258" s="2">
        <v>0.37083333333333335</v>
      </c>
      <c r="P258" t="s">
        <v>473</v>
      </c>
      <c r="Q258">
        <v>82780</v>
      </c>
      <c r="R258" t="s">
        <v>20</v>
      </c>
    </row>
    <row r="259" spans="1:18" x14ac:dyDescent="0.25">
      <c r="A259">
        <v>83865</v>
      </c>
      <c r="B259" t="s">
        <v>16</v>
      </c>
      <c r="C259" t="s">
        <v>16</v>
      </c>
      <c r="D259" t="s">
        <v>474</v>
      </c>
      <c r="E259" t="s">
        <v>16</v>
      </c>
      <c r="F259" t="s">
        <v>16</v>
      </c>
      <c r="G259">
        <v>0</v>
      </c>
      <c r="H259" t="s">
        <v>16</v>
      </c>
      <c r="I259" t="s">
        <v>16</v>
      </c>
      <c r="J259">
        <v>83865</v>
      </c>
      <c r="K259" t="s">
        <v>421</v>
      </c>
      <c r="L259" s="1">
        <v>42387.849305555559</v>
      </c>
      <c r="M259" s="1">
        <v>42387</v>
      </c>
      <c r="N259" s="3">
        <f>INT(BrightTV_JoinedTablesnw_2026_04_16_23_55_09[[#This Row],[Viewership.RecordDate22]])</f>
        <v>42387</v>
      </c>
      <c r="O259" s="2">
        <v>0.84930555555555554</v>
      </c>
      <c r="P259" t="s">
        <v>289</v>
      </c>
      <c r="Q259">
        <v>83865</v>
      </c>
      <c r="R259" t="s">
        <v>20</v>
      </c>
    </row>
    <row r="260" spans="1:18" x14ac:dyDescent="0.25">
      <c r="A260">
        <v>85945</v>
      </c>
      <c r="B260" t="s">
        <v>317</v>
      </c>
      <c r="C260" t="s">
        <v>36</v>
      </c>
      <c r="D260" t="s">
        <v>318</v>
      </c>
      <c r="E260" t="s">
        <v>38</v>
      </c>
      <c r="F260" t="s">
        <v>25</v>
      </c>
      <c r="G260">
        <v>30</v>
      </c>
      <c r="H260" t="s">
        <v>40</v>
      </c>
      <c r="I260" t="s">
        <v>319</v>
      </c>
      <c r="J260">
        <v>85945</v>
      </c>
      <c r="K260" t="s">
        <v>62</v>
      </c>
      <c r="L260" s="1">
        <v>42371.137499999997</v>
      </c>
      <c r="M260" s="1">
        <v>42371</v>
      </c>
      <c r="N260" s="3">
        <f>INT(BrightTV_JoinedTablesnw_2026_04_16_23_55_09[[#This Row],[Viewership.RecordDate22]])</f>
        <v>42371</v>
      </c>
      <c r="O260" s="2">
        <v>0.13750000000000001</v>
      </c>
      <c r="P260" t="s">
        <v>475</v>
      </c>
      <c r="Q260">
        <v>85945</v>
      </c>
      <c r="R260" t="s">
        <v>20</v>
      </c>
    </row>
    <row r="261" spans="1:18" x14ac:dyDescent="0.25">
      <c r="A261">
        <v>793649</v>
      </c>
      <c r="B261" t="s">
        <v>476</v>
      </c>
      <c r="C261" t="s">
        <v>66</v>
      </c>
      <c r="D261" t="s">
        <v>477</v>
      </c>
      <c r="E261" t="s">
        <v>24</v>
      </c>
      <c r="F261" t="s">
        <v>89</v>
      </c>
      <c r="G261">
        <v>21</v>
      </c>
      <c r="H261" t="s">
        <v>138</v>
      </c>
      <c r="I261" t="s">
        <v>478</v>
      </c>
      <c r="J261">
        <v>793649</v>
      </c>
      <c r="K261" t="s">
        <v>77</v>
      </c>
      <c r="L261" s="1">
        <v>42459.394444444442</v>
      </c>
      <c r="M261" s="1">
        <v>42459</v>
      </c>
      <c r="N261" s="3">
        <f>INT(BrightTV_JoinedTablesnw_2026_04_16_23_55_09[[#This Row],[Viewership.RecordDate22]])</f>
        <v>42459</v>
      </c>
      <c r="O261" s="2">
        <v>0.39444444444444443</v>
      </c>
      <c r="P261" t="s">
        <v>479</v>
      </c>
      <c r="Q261">
        <v>793649</v>
      </c>
      <c r="R261" t="s">
        <v>20</v>
      </c>
    </row>
    <row r="262" spans="1:18" x14ac:dyDescent="0.25">
      <c r="A262">
        <v>793649</v>
      </c>
      <c r="B262" t="s">
        <v>476</v>
      </c>
      <c r="C262" t="s">
        <v>66</v>
      </c>
      <c r="D262" t="s">
        <v>477</v>
      </c>
      <c r="E262" t="s">
        <v>24</v>
      </c>
      <c r="F262" t="s">
        <v>89</v>
      </c>
      <c r="G262">
        <v>21</v>
      </c>
      <c r="H262" t="s">
        <v>138</v>
      </c>
      <c r="I262" t="s">
        <v>478</v>
      </c>
      <c r="J262">
        <v>793649</v>
      </c>
      <c r="K262" t="s">
        <v>480</v>
      </c>
      <c r="L262" s="1">
        <v>42456.98541666667</v>
      </c>
      <c r="M262" s="1">
        <v>42456</v>
      </c>
      <c r="N262" s="3">
        <f>INT(BrightTV_JoinedTablesnw_2026_04_16_23_55_09[[#This Row],[Viewership.RecordDate22]])</f>
        <v>42456</v>
      </c>
      <c r="O262" s="2">
        <v>0.98541666666666672</v>
      </c>
      <c r="P262" t="s">
        <v>481</v>
      </c>
      <c r="Q262">
        <v>793649</v>
      </c>
      <c r="R262" t="s">
        <v>20</v>
      </c>
    </row>
    <row r="263" spans="1:18" x14ac:dyDescent="0.25">
      <c r="A263">
        <v>793649</v>
      </c>
      <c r="B263" t="s">
        <v>476</v>
      </c>
      <c r="C263" t="s">
        <v>66</v>
      </c>
      <c r="D263" t="s">
        <v>477</v>
      </c>
      <c r="E263" t="s">
        <v>24</v>
      </c>
      <c r="F263" t="s">
        <v>89</v>
      </c>
      <c r="G263">
        <v>21</v>
      </c>
      <c r="H263" t="s">
        <v>138</v>
      </c>
      <c r="I263" t="s">
        <v>478</v>
      </c>
      <c r="J263">
        <v>793649</v>
      </c>
      <c r="K263" t="s">
        <v>129</v>
      </c>
      <c r="L263" s="1">
        <v>42458.745833333334</v>
      </c>
      <c r="M263" s="1">
        <v>42458</v>
      </c>
      <c r="N263" s="3">
        <f>INT(BrightTV_JoinedTablesnw_2026_04_16_23_55_09[[#This Row],[Viewership.RecordDate22]])</f>
        <v>42458</v>
      </c>
      <c r="O263" s="2">
        <v>0.74583333333333335</v>
      </c>
      <c r="P263" t="s">
        <v>482</v>
      </c>
      <c r="Q263">
        <v>793649</v>
      </c>
      <c r="R263" t="s">
        <v>20</v>
      </c>
    </row>
    <row r="264" spans="1:18" x14ac:dyDescent="0.25">
      <c r="A264">
        <v>87234</v>
      </c>
      <c r="B264" t="s">
        <v>16</v>
      </c>
      <c r="C264" t="s">
        <v>16</v>
      </c>
      <c r="D264" t="s">
        <v>483</v>
      </c>
      <c r="E264" t="s">
        <v>16</v>
      </c>
      <c r="F264" t="s">
        <v>16</v>
      </c>
      <c r="G264">
        <v>0</v>
      </c>
      <c r="H264" t="s">
        <v>16</v>
      </c>
      <c r="I264" t="s">
        <v>16</v>
      </c>
      <c r="J264">
        <v>87234</v>
      </c>
      <c r="K264" t="s">
        <v>32</v>
      </c>
      <c r="L264" s="1">
        <v>42384.405555555553</v>
      </c>
      <c r="M264" s="1">
        <v>42384</v>
      </c>
      <c r="N264" s="3">
        <f>INT(BrightTV_JoinedTablesnw_2026_04_16_23_55_09[[#This Row],[Viewership.RecordDate22]])</f>
        <v>42384</v>
      </c>
      <c r="O264" s="2">
        <v>0.40555555555555556</v>
      </c>
      <c r="P264" t="s">
        <v>100</v>
      </c>
      <c r="Q264">
        <v>87234</v>
      </c>
      <c r="R264" t="s">
        <v>20</v>
      </c>
    </row>
    <row r="265" spans="1:18" x14ac:dyDescent="0.25">
      <c r="A265">
        <v>771872</v>
      </c>
      <c r="B265" t="s">
        <v>484</v>
      </c>
      <c r="C265" t="s">
        <v>66</v>
      </c>
      <c r="D265" t="s">
        <v>485</v>
      </c>
      <c r="E265" t="s">
        <v>38</v>
      </c>
      <c r="F265" t="s">
        <v>96</v>
      </c>
      <c r="G265">
        <v>25</v>
      </c>
      <c r="H265" t="s">
        <v>60</v>
      </c>
      <c r="I265" t="s">
        <v>486</v>
      </c>
      <c r="J265">
        <v>771872</v>
      </c>
      <c r="K265" t="s">
        <v>84</v>
      </c>
      <c r="L265" s="1">
        <v>42407.673611111109</v>
      </c>
      <c r="M265" s="1">
        <v>42407</v>
      </c>
      <c r="N265" s="3">
        <f>INT(BrightTV_JoinedTablesnw_2026_04_16_23_55_09[[#This Row],[Viewership.RecordDate22]])</f>
        <v>42407</v>
      </c>
      <c r="O265" s="2">
        <v>0.67361111111111116</v>
      </c>
      <c r="P265" t="s">
        <v>487</v>
      </c>
      <c r="Q265">
        <v>771872</v>
      </c>
      <c r="R265" t="s">
        <v>20</v>
      </c>
    </row>
    <row r="266" spans="1:18" x14ac:dyDescent="0.25">
      <c r="A266">
        <v>771872</v>
      </c>
      <c r="B266" t="s">
        <v>484</v>
      </c>
      <c r="C266" t="s">
        <v>66</v>
      </c>
      <c r="D266" t="s">
        <v>485</v>
      </c>
      <c r="E266" t="s">
        <v>38</v>
      </c>
      <c r="F266" t="s">
        <v>96</v>
      </c>
      <c r="G266">
        <v>25</v>
      </c>
      <c r="H266" t="s">
        <v>60</v>
      </c>
      <c r="I266" t="s">
        <v>486</v>
      </c>
      <c r="J266">
        <v>771872</v>
      </c>
      <c r="K266" t="s">
        <v>30</v>
      </c>
      <c r="L266" s="1">
        <v>42400.680555555555</v>
      </c>
      <c r="M266" s="1">
        <v>42400</v>
      </c>
      <c r="N266" s="3">
        <f>INT(BrightTV_JoinedTablesnw_2026_04_16_23_55_09[[#This Row],[Viewership.RecordDate22]])</f>
        <v>42400</v>
      </c>
      <c r="O266" s="2">
        <v>0.68055555555555558</v>
      </c>
      <c r="P266" t="s">
        <v>488</v>
      </c>
      <c r="Q266">
        <v>771872</v>
      </c>
      <c r="R266" t="s">
        <v>20</v>
      </c>
    </row>
    <row r="267" spans="1:18" x14ac:dyDescent="0.25">
      <c r="A267">
        <v>771872</v>
      </c>
      <c r="B267" t="s">
        <v>484</v>
      </c>
      <c r="C267" t="s">
        <v>66</v>
      </c>
      <c r="D267" t="s">
        <v>485</v>
      </c>
      <c r="E267" t="s">
        <v>38</v>
      </c>
      <c r="F267" t="s">
        <v>96</v>
      </c>
      <c r="G267">
        <v>25</v>
      </c>
      <c r="H267" t="s">
        <v>60</v>
      </c>
      <c r="I267" t="s">
        <v>486</v>
      </c>
      <c r="J267">
        <v>771872</v>
      </c>
      <c r="K267" t="s">
        <v>30</v>
      </c>
      <c r="L267" s="1">
        <v>42400.813888888886</v>
      </c>
      <c r="M267" s="1">
        <v>42400</v>
      </c>
      <c r="N267" s="3">
        <f>INT(BrightTV_JoinedTablesnw_2026_04_16_23_55_09[[#This Row],[Viewership.RecordDate22]])</f>
        <v>42400</v>
      </c>
      <c r="O267" s="2">
        <v>0.81388888888888888</v>
      </c>
      <c r="P267" t="s">
        <v>489</v>
      </c>
      <c r="Q267">
        <v>771872</v>
      </c>
      <c r="R267" t="s">
        <v>20</v>
      </c>
    </row>
    <row r="268" spans="1:18" x14ac:dyDescent="0.25">
      <c r="A268">
        <v>98046</v>
      </c>
      <c r="B268" t="s">
        <v>57</v>
      </c>
      <c r="C268" t="s">
        <v>58</v>
      </c>
      <c r="D268" t="s">
        <v>490</v>
      </c>
      <c r="E268" t="s">
        <v>38</v>
      </c>
      <c r="F268" t="s">
        <v>39</v>
      </c>
      <c r="G268">
        <v>31</v>
      </c>
      <c r="H268" t="s">
        <v>52</v>
      </c>
      <c r="I268" t="s">
        <v>61</v>
      </c>
      <c r="J268">
        <v>98046</v>
      </c>
      <c r="K268" t="s">
        <v>129</v>
      </c>
      <c r="L268" s="1">
        <v>42373.945138888892</v>
      </c>
      <c r="M268" s="1">
        <v>42373</v>
      </c>
      <c r="N268" s="3">
        <f>INT(BrightTV_JoinedTablesnw_2026_04_16_23_55_09[[#This Row],[Viewership.RecordDate22]])</f>
        <v>42373</v>
      </c>
      <c r="O268" s="2">
        <v>0.94513888888888886</v>
      </c>
      <c r="P268" t="s">
        <v>161</v>
      </c>
      <c r="Q268">
        <v>98046</v>
      </c>
      <c r="R268" t="s">
        <v>20</v>
      </c>
    </row>
    <row r="269" spans="1:18" x14ac:dyDescent="0.25">
      <c r="A269">
        <v>98046</v>
      </c>
      <c r="B269" t="s">
        <v>57</v>
      </c>
      <c r="C269" t="s">
        <v>58</v>
      </c>
      <c r="D269" t="s">
        <v>490</v>
      </c>
      <c r="E269" t="s">
        <v>38</v>
      </c>
      <c r="F269" t="s">
        <v>39</v>
      </c>
      <c r="G269">
        <v>31</v>
      </c>
      <c r="H269" t="s">
        <v>52</v>
      </c>
      <c r="I269" t="s">
        <v>61</v>
      </c>
      <c r="J269">
        <v>98046</v>
      </c>
      <c r="K269" t="s">
        <v>77</v>
      </c>
      <c r="L269" s="1">
        <v>42376.927083333336</v>
      </c>
      <c r="M269" s="1">
        <v>42376</v>
      </c>
      <c r="N269" s="3">
        <f>INT(BrightTV_JoinedTablesnw_2026_04_16_23_55_09[[#This Row],[Viewership.RecordDate22]])</f>
        <v>42376</v>
      </c>
      <c r="O269" s="2">
        <v>0.92708333333333337</v>
      </c>
      <c r="P269" t="s">
        <v>491</v>
      </c>
      <c r="Q269">
        <v>98046</v>
      </c>
      <c r="R269" t="s">
        <v>20</v>
      </c>
    </row>
    <row r="270" spans="1:18" x14ac:dyDescent="0.25">
      <c r="A270">
        <v>98046</v>
      </c>
      <c r="B270" t="s">
        <v>57</v>
      </c>
      <c r="C270" t="s">
        <v>58</v>
      </c>
      <c r="D270" t="s">
        <v>490</v>
      </c>
      <c r="E270" t="s">
        <v>38</v>
      </c>
      <c r="F270" t="s">
        <v>39</v>
      </c>
      <c r="G270">
        <v>31</v>
      </c>
      <c r="H270" t="s">
        <v>52</v>
      </c>
      <c r="I270" t="s">
        <v>61</v>
      </c>
      <c r="J270">
        <v>98046</v>
      </c>
      <c r="K270" t="s">
        <v>32</v>
      </c>
      <c r="L270" s="1">
        <v>42382.85833333333</v>
      </c>
      <c r="M270" s="1">
        <v>42382</v>
      </c>
      <c r="N270" s="3">
        <f>INT(BrightTV_JoinedTablesnw_2026_04_16_23_55_09[[#This Row],[Viewership.RecordDate22]])</f>
        <v>42382</v>
      </c>
      <c r="O270" s="2">
        <v>0.85833333333333328</v>
      </c>
      <c r="P270" t="s">
        <v>492</v>
      </c>
      <c r="Q270">
        <v>98046</v>
      </c>
      <c r="R270" t="s">
        <v>20</v>
      </c>
    </row>
    <row r="271" spans="1:18" x14ac:dyDescent="0.25">
      <c r="A271">
        <v>100538</v>
      </c>
      <c r="B271" t="s">
        <v>16</v>
      </c>
      <c r="C271" t="s">
        <v>16</v>
      </c>
      <c r="D271" t="s">
        <v>493</v>
      </c>
      <c r="E271" t="s">
        <v>16</v>
      </c>
      <c r="F271" t="s">
        <v>16</v>
      </c>
      <c r="G271">
        <v>0</v>
      </c>
      <c r="H271" t="s">
        <v>16</v>
      </c>
      <c r="I271" t="s">
        <v>16</v>
      </c>
      <c r="J271">
        <v>100538</v>
      </c>
      <c r="K271" t="s">
        <v>47</v>
      </c>
      <c r="L271" s="1">
        <v>42453.684027777781</v>
      </c>
      <c r="M271" s="1">
        <v>42453</v>
      </c>
      <c r="N271" s="3">
        <f>INT(BrightTV_JoinedTablesnw_2026_04_16_23_55_09[[#This Row],[Viewership.RecordDate22]])</f>
        <v>42453</v>
      </c>
      <c r="O271" s="2">
        <v>0.68402777777777779</v>
      </c>
      <c r="P271" t="s">
        <v>494</v>
      </c>
      <c r="Q271">
        <v>100538</v>
      </c>
      <c r="R271" t="s">
        <v>20</v>
      </c>
    </row>
    <row r="272" spans="1:18" x14ac:dyDescent="0.25">
      <c r="A272">
        <v>809000</v>
      </c>
      <c r="B272" t="s">
        <v>115</v>
      </c>
      <c r="C272" t="s">
        <v>238</v>
      </c>
      <c r="D272" t="s">
        <v>495</v>
      </c>
      <c r="E272" t="s">
        <v>38</v>
      </c>
      <c r="F272" t="s">
        <v>39</v>
      </c>
      <c r="G272">
        <v>47</v>
      </c>
      <c r="H272" t="s">
        <v>40</v>
      </c>
      <c r="I272" t="s">
        <v>118</v>
      </c>
      <c r="J272">
        <v>809000</v>
      </c>
      <c r="K272" t="s">
        <v>47</v>
      </c>
      <c r="L272" s="1">
        <v>42419.387499999997</v>
      </c>
      <c r="M272" s="1">
        <v>42419</v>
      </c>
      <c r="N272" s="3">
        <f>INT(BrightTV_JoinedTablesnw_2026_04_16_23_55_09[[#This Row],[Viewership.RecordDate22]])</f>
        <v>42419</v>
      </c>
      <c r="O272" s="2">
        <v>0.38750000000000001</v>
      </c>
      <c r="P272" t="s">
        <v>315</v>
      </c>
      <c r="Q272">
        <v>809000</v>
      </c>
      <c r="R272" t="s">
        <v>20</v>
      </c>
    </row>
    <row r="273" spans="1:18" x14ac:dyDescent="0.25">
      <c r="A273">
        <v>809000</v>
      </c>
      <c r="B273" t="s">
        <v>115</v>
      </c>
      <c r="C273" t="s">
        <v>238</v>
      </c>
      <c r="D273" t="s">
        <v>495</v>
      </c>
      <c r="E273" t="s">
        <v>38</v>
      </c>
      <c r="F273" t="s">
        <v>39</v>
      </c>
      <c r="G273">
        <v>47</v>
      </c>
      <c r="H273" t="s">
        <v>40</v>
      </c>
      <c r="I273" t="s">
        <v>118</v>
      </c>
      <c r="J273">
        <v>809000</v>
      </c>
      <c r="K273" t="s">
        <v>496</v>
      </c>
      <c r="L273" s="1">
        <v>42372.94027777778</v>
      </c>
      <c r="M273" s="1">
        <v>42372</v>
      </c>
      <c r="N273" s="3">
        <f>INT(BrightTV_JoinedTablesnw_2026_04_16_23_55_09[[#This Row],[Viewership.RecordDate22]])</f>
        <v>42372</v>
      </c>
      <c r="O273" s="2">
        <v>0.94027777777777777</v>
      </c>
      <c r="P273" t="s">
        <v>497</v>
      </c>
      <c r="Q273">
        <v>809000</v>
      </c>
      <c r="R273" t="s">
        <v>20</v>
      </c>
    </row>
    <row r="274" spans="1:18" x14ac:dyDescent="0.25">
      <c r="A274">
        <v>809000</v>
      </c>
      <c r="B274" t="s">
        <v>115</v>
      </c>
      <c r="C274" t="s">
        <v>238</v>
      </c>
      <c r="D274" t="s">
        <v>495</v>
      </c>
      <c r="E274" t="s">
        <v>38</v>
      </c>
      <c r="F274" t="s">
        <v>39</v>
      </c>
      <c r="G274">
        <v>47</v>
      </c>
      <c r="H274" t="s">
        <v>40</v>
      </c>
      <c r="I274" t="s">
        <v>118</v>
      </c>
      <c r="J274">
        <v>809000</v>
      </c>
      <c r="K274" t="s">
        <v>32</v>
      </c>
      <c r="L274" s="1">
        <v>42374.29583333333</v>
      </c>
      <c r="M274" s="1">
        <v>42374</v>
      </c>
      <c r="N274" s="3">
        <f>INT(BrightTV_JoinedTablesnw_2026_04_16_23_55_09[[#This Row],[Viewership.RecordDate22]])</f>
        <v>42374</v>
      </c>
      <c r="O274" s="2">
        <v>0.29583333333333334</v>
      </c>
      <c r="P274" t="s">
        <v>100</v>
      </c>
      <c r="Q274">
        <v>809000</v>
      </c>
      <c r="R274" t="s">
        <v>20</v>
      </c>
    </row>
    <row r="275" spans="1:18" x14ac:dyDescent="0.25">
      <c r="A275">
        <v>809000</v>
      </c>
      <c r="B275" t="s">
        <v>115</v>
      </c>
      <c r="C275" t="s">
        <v>238</v>
      </c>
      <c r="D275" t="s">
        <v>495</v>
      </c>
      <c r="E275" t="s">
        <v>38</v>
      </c>
      <c r="F275" t="s">
        <v>39</v>
      </c>
      <c r="G275">
        <v>47</v>
      </c>
      <c r="H275" t="s">
        <v>40</v>
      </c>
      <c r="I275" t="s">
        <v>118</v>
      </c>
      <c r="J275">
        <v>809000</v>
      </c>
      <c r="K275" t="s">
        <v>169</v>
      </c>
      <c r="L275" s="1">
        <v>42433.386805555558</v>
      </c>
      <c r="M275" s="1">
        <v>42433</v>
      </c>
      <c r="N275" s="3">
        <f>INT(BrightTV_JoinedTablesnw_2026_04_16_23_55_09[[#This Row],[Viewership.RecordDate22]])</f>
        <v>42433</v>
      </c>
      <c r="O275" s="2">
        <v>0.38680555555555557</v>
      </c>
      <c r="P275" t="s">
        <v>498</v>
      </c>
      <c r="Q275">
        <v>809000</v>
      </c>
      <c r="R275" t="s">
        <v>20</v>
      </c>
    </row>
    <row r="276" spans="1:18" x14ac:dyDescent="0.25">
      <c r="A276">
        <v>809000</v>
      </c>
      <c r="B276" t="s">
        <v>115</v>
      </c>
      <c r="C276" t="s">
        <v>238</v>
      </c>
      <c r="D276" t="s">
        <v>495</v>
      </c>
      <c r="E276" t="s">
        <v>38</v>
      </c>
      <c r="F276" t="s">
        <v>39</v>
      </c>
      <c r="G276">
        <v>47</v>
      </c>
      <c r="H276" t="s">
        <v>40</v>
      </c>
      <c r="I276" t="s">
        <v>118</v>
      </c>
      <c r="J276">
        <v>809000</v>
      </c>
      <c r="K276" t="s">
        <v>54</v>
      </c>
      <c r="L276" s="1">
        <v>42441.930555555555</v>
      </c>
      <c r="M276" s="1">
        <v>42441</v>
      </c>
      <c r="N276" s="3">
        <f>INT(BrightTV_JoinedTablesnw_2026_04_16_23_55_09[[#This Row],[Viewership.RecordDate22]])</f>
        <v>42441</v>
      </c>
      <c r="O276" s="2">
        <v>0.93055555555555558</v>
      </c>
      <c r="P276" t="s">
        <v>499</v>
      </c>
      <c r="Q276">
        <v>809000</v>
      </c>
      <c r="R276" t="s">
        <v>20</v>
      </c>
    </row>
    <row r="277" spans="1:18" x14ac:dyDescent="0.25">
      <c r="A277">
        <v>809000</v>
      </c>
      <c r="B277" t="s">
        <v>115</v>
      </c>
      <c r="C277" t="s">
        <v>238</v>
      </c>
      <c r="D277" t="s">
        <v>495</v>
      </c>
      <c r="E277" t="s">
        <v>38</v>
      </c>
      <c r="F277" t="s">
        <v>39</v>
      </c>
      <c r="G277">
        <v>47</v>
      </c>
      <c r="H277" t="s">
        <v>40</v>
      </c>
      <c r="I277" t="s">
        <v>118</v>
      </c>
      <c r="J277">
        <v>809000</v>
      </c>
      <c r="K277" t="s">
        <v>129</v>
      </c>
      <c r="L277" s="1">
        <v>42439.186111111114</v>
      </c>
      <c r="M277" s="1">
        <v>42439</v>
      </c>
      <c r="N277" s="3">
        <f>INT(BrightTV_JoinedTablesnw_2026_04_16_23_55_09[[#This Row],[Viewership.RecordDate22]])</f>
        <v>42439</v>
      </c>
      <c r="O277" s="2">
        <v>0.18611111111111112</v>
      </c>
      <c r="P277" t="s">
        <v>500</v>
      </c>
      <c r="Q277">
        <v>809000</v>
      </c>
      <c r="R277" t="s">
        <v>20</v>
      </c>
    </row>
    <row r="278" spans="1:18" x14ac:dyDescent="0.25">
      <c r="A278">
        <v>115518</v>
      </c>
      <c r="B278" t="s">
        <v>93</v>
      </c>
      <c r="C278" t="s">
        <v>407</v>
      </c>
      <c r="D278" t="s">
        <v>501</v>
      </c>
      <c r="E278" t="s">
        <v>38</v>
      </c>
      <c r="F278" t="s">
        <v>39</v>
      </c>
      <c r="G278">
        <v>36</v>
      </c>
      <c r="H278" t="s">
        <v>40</v>
      </c>
      <c r="I278" t="s">
        <v>97</v>
      </c>
      <c r="J278">
        <v>115518</v>
      </c>
      <c r="K278" t="s">
        <v>84</v>
      </c>
      <c r="L278" s="1">
        <v>42433.697222222225</v>
      </c>
      <c r="M278" s="1">
        <v>42433</v>
      </c>
      <c r="N278" s="3">
        <f>INT(BrightTV_JoinedTablesnw_2026_04_16_23_55_09[[#This Row],[Viewership.RecordDate22]])</f>
        <v>42433</v>
      </c>
      <c r="O278" s="2">
        <v>0.69722222222222219</v>
      </c>
      <c r="P278" t="s">
        <v>502</v>
      </c>
      <c r="Q278">
        <v>115518</v>
      </c>
      <c r="R278" t="s">
        <v>20</v>
      </c>
    </row>
    <row r="279" spans="1:18" x14ac:dyDescent="0.25">
      <c r="A279">
        <v>115518</v>
      </c>
      <c r="B279" t="s">
        <v>93</v>
      </c>
      <c r="C279" t="s">
        <v>407</v>
      </c>
      <c r="D279" t="s">
        <v>501</v>
      </c>
      <c r="E279" t="s">
        <v>38</v>
      </c>
      <c r="F279" t="s">
        <v>39</v>
      </c>
      <c r="G279">
        <v>36</v>
      </c>
      <c r="H279" t="s">
        <v>40</v>
      </c>
      <c r="I279" t="s">
        <v>97</v>
      </c>
      <c r="J279">
        <v>115518</v>
      </c>
      <c r="K279" t="s">
        <v>62</v>
      </c>
      <c r="L279" s="1">
        <v>42434.820138888892</v>
      </c>
      <c r="M279" s="1">
        <v>42434</v>
      </c>
      <c r="N279" s="3">
        <f>INT(BrightTV_JoinedTablesnw_2026_04_16_23_55_09[[#This Row],[Viewership.RecordDate22]])</f>
        <v>42434</v>
      </c>
      <c r="O279" s="2">
        <v>0.82013888888888886</v>
      </c>
      <c r="P279" t="s">
        <v>99</v>
      </c>
      <c r="Q279">
        <v>115518</v>
      </c>
      <c r="R279" t="s">
        <v>20</v>
      </c>
    </row>
    <row r="280" spans="1:18" x14ac:dyDescent="0.25">
      <c r="A280">
        <v>771876</v>
      </c>
      <c r="B280" t="s">
        <v>80</v>
      </c>
      <c r="C280" t="s">
        <v>361</v>
      </c>
      <c r="D280" t="s">
        <v>82</v>
      </c>
      <c r="E280" t="s">
        <v>38</v>
      </c>
      <c r="F280" t="s">
        <v>39</v>
      </c>
      <c r="G280">
        <v>25</v>
      </c>
      <c r="H280" t="s">
        <v>280</v>
      </c>
      <c r="I280" t="s">
        <v>83</v>
      </c>
      <c r="J280">
        <v>771876</v>
      </c>
      <c r="K280" t="s">
        <v>77</v>
      </c>
      <c r="L280" s="1">
        <v>42400.561111111114</v>
      </c>
      <c r="M280" s="1">
        <v>42400</v>
      </c>
      <c r="N280" s="3">
        <f>INT(BrightTV_JoinedTablesnw_2026_04_16_23_55_09[[#This Row],[Viewership.RecordDate22]])</f>
        <v>42400</v>
      </c>
      <c r="O280" s="2">
        <v>0.56111111111111112</v>
      </c>
      <c r="P280" t="s">
        <v>503</v>
      </c>
      <c r="Q280">
        <v>771876</v>
      </c>
      <c r="R280" t="s">
        <v>20</v>
      </c>
    </row>
    <row r="281" spans="1:18" x14ac:dyDescent="0.25">
      <c r="A281">
        <v>771876</v>
      </c>
      <c r="B281" t="s">
        <v>80</v>
      </c>
      <c r="C281" t="s">
        <v>361</v>
      </c>
      <c r="D281" t="s">
        <v>82</v>
      </c>
      <c r="E281" t="s">
        <v>38</v>
      </c>
      <c r="F281" t="s">
        <v>39</v>
      </c>
      <c r="G281">
        <v>25</v>
      </c>
      <c r="H281" t="s">
        <v>280</v>
      </c>
      <c r="I281" t="s">
        <v>83</v>
      </c>
      <c r="J281">
        <v>771876</v>
      </c>
      <c r="K281" t="s">
        <v>30</v>
      </c>
      <c r="L281" s="1">
        <v>42407.82916666667</v>
      </c>
      <c r="M281" s="1">
        <v>42407</v>
      </c>
      <c r="N281" s="3">
        <f>INT(BrightTV_JoinedTablesnw_2026_04_16_23_55_09[[#This Row],[Viewership.RecordDate22]])</f>
        <v>42407</v>
      </c>
      <c r="O281" s="2">
        <v>0.82916666666666672</v>
      </c>
      <c r="P281" t="s">
        <v>504</v>
      </c>
      <c r="Q281">
        <v>771876</v>
      </c>
      <c r="R281" t="s">
        <v>20</v>
      </c>
    </row>
    <row r="282" spans="1:18" x14ac:dyDescent="0.25">
      <c r="A282">
        <v>771876</v>
      </c>
      <c r="B282" t="s">
        <v>80</v>
      </c>
      <c r="C282" t="s">
        <v>361</v>
      </c>
      <c r="D282" t="s">
        <v>82</v>
      </c>
      <c r="E282" t="s">
        <v>38</v>
      </c>
      <c r="F282" t="s">
        <v>39</v>
      </c>
      <c r="G282">
        <v>25</v>
      </c>
      <c r="H282" t="s">
        <v>280</v>
      </c>
      <c r="I282" t="s">
        <v>83</v>
      </c>
      <c r="J282">
        <v>771876</v>
      </c>
      <c r="K282" t="s">
        <v>47</v>
      </c>
      <c r="L282" s="1">
        <v>42398.609027777777</v>
      </c>
      <c r="M282" s="1">
        <v>42398</v>
      </c>
      <c r="N282" s="3">
        <f>INT(BrightTV_JoinedTablesnw_2026_04_16_23_55_09[[#This Row],[Viewership.RecordDate22]])</f>
        <v>42398</v>
      </c>
      <c r="O282" s="2">
        <v>0.60902777777777772</v>
      </c>
      <c r="P282" t="s">
        <v>64</v>
      </c>
      <c r="Q282">
        <v>771876</v>
      </c>
      <c r="R282" t="s">
        <v>20</v>
      </c>
    </row>
    <row r="283" spans="1:18" x14ac:dyDescent="0.25">
      <c r="A283">
        <v>771876</v>
      </c>
      <c r="B283" t="s">
        <v>80</v>
      </c>
      <c r="C283" t="s">
        <v>361</v>
      </c>
      <c r="D283" t="s">
        <v>82</v>
      </c>
      <c r="E283" t="s">
        <v>38</v>
      </c>
      <c r="F283" t="s">
        <v>39</v>
      </c>
      <c r="G283">
        <v>25</v>
      </c>
      <c r="H283" t="s">
        <v>280</v>
      </c>
      <c r="I283" t="s">
        <v>83</v>
      </c>
      <c r="J283">
        <v>771876</v>
      </c>
      <c r="K283" t="s">
        <v>30</v>
      </c>
      <c r="L283" s="1">
        <v>42400.627083333333</v>
      </c>
      <c r="M283" s="1">
        <v>42400</v>
      </c>
      <c r="N283" s="3">
        <f>INT(BrightTV_JoinedTablesnw_2026_04_16_23_55_09[[#This Row],[Viewership.RecordDate22]])</f>
        <v>42400</v>
      </c>
      <c r="O283" s="2">
        <v>0.62708333333333333</v>
      </c>
      <c r="P283" t="s">
        <v>64</v>
      </c>
      <c r="Q283">
        <v>771876</v>
      </c>
      <c r="R283" t="s">
        <v>20</v>
      </c>
    </row>
    <row r="284" spans="1:18" x14ac:dyDescent="0.25">
      <c r="A284">
        <v>771876</v>
      </c>
      <c r="B284" t="s">
        <v>80</v>
      </c>
      <c r="C284" t="s">
        <v>361</v>
      </c>
      <c r="D284" t="s">
        <v>82</v>
      </c>
      <c r="E284" t="s">
        <v>38</v>
      </c>
      <c r="F284" t="s">
        <v>39</v>
      </c>
      <c r="G284">
        <v>25</v>
      </c>
      <c r="H284" t="s">
        <v>280</v>
      </c>
      <c r="I284" t="s">
        <v>83</v>
      </c>
      <c r="J284">
        <v>771876</v>
      </c>
      <c r="K284" t="s">
        <v>77</v>
      </c>
      <c r="L284" s="1">
        <v>42406.343055555553</v>
      </c>
      <c r="M284" s="1">
        <v>42406</v>
      </c>
      <c r="N284" s="3">
        <f>INT(BrightTV_JoinedTablesnw_2026_04_16_23_55_09[[#This Row],[Viewership.RecordDate22]])</f>
        <v>42406</v>
      </c>
      <c r="O284" s="2">
        <v>0.34305555555555556</v>
      </c>
      <c r="P284" t="s">
        <v>505</v>
      </c>
      <c r="Q284">
        <v>771876</v>
      </c>
      <c r="R284" t="s">
        <v>20</v>
      </c>
    </row>
    <row r="285" spans="1:18" x14ac:dyDescent="0.25">
      <c r="A285">
        <v>771876</v>
      </c>
      <c r="B285" t="s">
        <v>80</v>
      </c>
      <c r="C285" t="s">
        <v>361</v>
      </c>
      <c r="D285" t="s">
        <v>82</v>
      </c>
      <c r="E285" t="s">
        <v>38</v>
      </c>
      <c r="F285" t="s">
        <v>39</v>
      </c>
      <c r="G285">
        <v>25</v>
      </c>
      <c r="H285" t="s">
        <v>280</v>
      </c>
      <c r="I285" t="s">
        <v>83</v>
      </c>
      <c r="J285">
        <v>771876</v>
      </c>
      <c r="K285" t="s">
        <v>84</v>
      </c>
      <c r="L285" s="1">
        <v>42406.672222222223</v>
      </c>
      <c r="M285" s="1">
        <v>42406</v>
      </c>
      <c r="N285" s="3">
        <f>INT(BrightTV_JoinedTablesnw_2026_04_16_23_55_09[[#This Row],[Viewership.RecordDate22]])</f>
        <v>42406</v>
      </c>
      <c r="O285" s="2">
        <v>0.67222222222222228</v>
      </c>
      <c r="P285" t="s">
        <v>506</v>
      </c>
      <c r="Q285">
        <v>771876</v>
      </c>
      <c r="R285" t="s">
        <v>20</v>
      </c>
    </row>
    <row r="286" spans="1:18" x14ac:dyDescent="0.25">
      <c r="A286">
        <v>131449</v>
      </c>
      <c r="B286" t="s">
        <v>16</v>
      </c>
      <c r="C286" t="s">
        <v>16</v>
      </c>
      <c r="D286" t="s">
        <v>507</v>
      </c>
      <c r="E286" t="s">
        <v>16</v>
      </c>
      <c r="F286" t="s">
        <v>16</v>
      </c>
      <c r="G286">
        <v>0</v>
      </c>
      <c r="H286" t="s">
        <v>16</v>
      </c>
      <c r="I286" t="s">
        <v>16</v>
      </c>
      <c r="J286">
        <v>131449</v>
      </c>
      <c r="K286" t="s">
        <v>169</v>
      </c>
      <c r="L286" s="1">
        <v>42384.746527777781</v>
      </c>
      <c r="M286" s="1">
        <v>42384</v>
      </c>
      <c r="N286" s="3">
        <f>INT(BrightTV_JoinedTablesnw_2026_04_16_23_55_09[[#This Row],[Viewership.RecordDate22]])</f>
        <v>42384</v>
      </c>
      <c r="O286" s="2">
        <v>0.74652777777777779</v>
      </c>
      <c r="P286" t="s">
        <v>508</v>
      </c>
      <c r="Q286">
        <v>131449</v>
      </c>
      <c r="R286" t="s">
        <v>20</v>
      </c>
    </row>
    <row r="287" spans="1:18" x14ac:dyDescent="0.25">
      <c r="A287">
        <v>771877</v>
      </c>
      <c r="B287" t="s">
        <v>317</v>
      </c>
      <c r="C287" t="s">
        <v>155</v>
      </c>
      <c r="D287" t="s">
        <v>509</v>
      </c>
      <c r="E287" t="s">
        <v>38</v>
      </c>
      <c r="F287" t="s">
        <v>39</v>
      </c>
      <c r="G287">
        <v>25</v>
      </c>
      <c r="H287" t="s">
        <v>173</v>
      </c>
      <c r="I287" t="s">
        <v>319</v>
      </c>
      <c r="J287">
        <v>771877</v>
      </c>
      <c r="K287" t="s">
        <v>152</v>
      </c>
      <c r="L287" s="1">
        <v>42398.904861111114</v>
      </c>
      <c r="M287" s="1">
        <v>42398</v>
      </c>
      <c r="N287" s="3">
        <f>INT(BrightTV_JoinedTablesnw_2026_04_16_23_55_09[[#This Row],[Viewership.RecordDate22]])</f>
        <v>42398</v>
      </c>
      <c r="O287" s="2">
        <v>0.90486111111111112</v>
      </c>
      <c r="P287" t="s">
        <v>510</v>
      </c>
      <c r="Q287">
        <v>771877</v>
      </c>
      <c r="R287" t="s">
        <v>20</v>
      </c>
    </row>
    <row r="288" spans="1:18" x14ac:dyDescent="0.25">
      <c r="A288">
        <v>771877</v>
      </c>
      <c r="B288" t="s">
        <v>317</v>
      </c>
      <c r="C288" t="s">
        <v>155</v>
      </c>
      <c r="D288" t="s">
        <v>509</v>
      </c>
      <c r="E288" t="s">
        <v>38</v>
      </c>
      <c r="F288" t="s">
        <v>39</v>
      </c>
      <c r="G288">
        <v>25</v>
      </c>
      <c r="H288" t="s">
        <v>173</v>
      </c>
      <c r="I288" t="s">
        <v>319</v>
      </c>
      <c r="J288">
        <v>771877</v>
      </c>
      <c r="K288" t="s">
        <v>28</v>
      </c>
      <c r="L288" s="1">
        <v>42400.859722222223</v>
      </c>
      <c r="M288" s="1">
        <v>42400</v>
      </c>
      <c r="N288" s="3">
        <f>INT(BrightTV_JoinedTablesnw_2026_04_16_23_55_09[[#This Row],[Viewership.RecordDate22]])</f>
        <v>42400</v>
      </c>
      <c r="O288" s="2">
        <v>0.85972222222222228</v>
      </c>
      <c r="P288" t="s">
        <v>511</v>
      </c>
      <c r="Q288">
        <v>771877</v>
      </c>
      <c r="R288" t="s">
        <v>20</v>
      </c>
    </row>
    <row r="289" spans="1:18" x14ac:dyDescent="0.25">
      <c r="A289">
        <v>809006</v>
      </c>
      <c r="B289" t="s">
        <v>103</v>
      </c>
      <c r="C289" t="s">
        <v>276</v>
      </c>
      <c r="D289" t="s">
        <v>512</v>
      </c>
      <c r="E289" t="s">
        <v>38</v>
      </c>
      <c r="F289" t="s">
        <v>39</v>
      </c>
      <c r="G289">
        <v>31</v>
      </c>
      <c r="H289" t="s">
        <v>40</v>
      </c>
      <c r="I289" t="s">
        <v>107</v>
      </c>
      <c r="J289">
        <v>809006</v>
      </c>
      <c r="K289" t="s">
        <v>47</v>
      </c>
      <c r="L289" s="1">
        <v>42416.07916666667</v>
      </c>
      <c r="M289" s="1">
        <v>42416</v>
      </c>
      <c r="N289" s="3">
        <f>INT(BrightTV_JoinedTablesnw_2026_04_16_23_55_09[[#This Row],[Viewership.RecordDate22]])</f>
        <v>42416</v>
      </c>
      <c r="O289" s="2">
        <v>7.9166666666666663E-2</v>
      </c>
      <c r="P289" t="s">
        <v>200</v>
      </c>
      <c r="Q289">
        <v>809006</v>
      </c>
      <c r="R289" t="s">
        <v>20</v>
      </c>
    </row>
    <row r="290" spans="1:18" x14ac:dyDescent="0.25">
      <c r="A290">
        <v>809006</v>
      </c>
      <c r="B290" t="s">
        <v>103</v>
      </c>
      <c r="C290" t="s">
        <v>276</v>
      </c>
      <c r="D290" t="s">
        <v>512</v>
      </c>
      <c r="E290" t="s">
        <v>38</v>
      </c>
      <c r="F290" t="s">
        <v>39</v>
      </c>
      <c r="G290">
        <v>31</v>
      </c>
      <c r="H290" t="s">
        <v>40</v>
      </c>
      <c r="I290" t="s">
        <v>107</v>
      </c>
      <c r="J290">
        <v>809006</v>
      </c>
      <c r="K290" t="s">
        <v>77</v>
      </c>
      <c r="L290" s="1">
        <v>42416.640972222223</v>
      </c>
      <c r="M290" s="1">
        <v>42416</v>
      </c>
      <c r="N290" s="3">
        <f>INT(BrightTV_JoinedTablesnw_2026_04_16_23_55_09[[#This Row],[Viewership.RecordDate22]])</f>
        <v>42416</v>
      </c>
      <c r="O290" s="2">
        <v>0.64097222222222228</v>
      </c>
      <c r="P290" t="s">
        <v>286</v>
      </c>
      <c r="Q290">
        <v>809006</v>
      </c>
      <c r="R290" t="s">
        <v>20</v>
      </c>
    </row>
    <row r="291" spans="1:18" x14ac:dyDescent="0.25">
      <c r="A291">
        <v>601422</v>
      </c>
      <c r="B291" t="s">
        <v>513</v>
      </c>
      <c r="C291" t="s">
        <v>298</v>
      </c>
      <c r="D291" t="s">
        <v>514</v>
      </c>
      <c r="E291" t="s">
        <v>24</v>
      </c>
      <c r="F291" t="s">
        <v>89</v>
      </c>
      <c r="G291">
        <v>10</v>
      </c>
      <c r="H291" t="s">
        <v>60</v>
      </c>
      <c r="I291" t="s">
        <v>515</v>
      </c>
      <c r="J291">
        <v>601422</v>
      </c>
      <c r="K291" t="s">
        <v>47</v>
      </c>
      <c r="L291" s="1">
        <v>42378.736805555556</v>
      </c>
      <c r="M291" s="1">
        <v>42378</v>
      </c>
      <c r="N291" s="3">
        <f>INT(BrightTV_JoinedTablesnw_2026_04_16_23_55_09[[#This Row],[Viewership.RecordDate22]])</f>
        <v>42378</v>
      </c>
      <c r="O291" s="2">
        <v>0.7368055555555556</v>
      </c>
      <c r="P291" t="s">
        <v>516</v>
      </c>
      <c r="Q291">
        <v>601422</v>
      </c>
      <c r="R291" t="s">
        <v>20</v>
      </c>
    </row>
    <row r="292" spans="1:18" x14ac:dyDescent="0.25">
      <c r="A292">
        <v>159026</v>
      </c>
      <c r="B292" t="s">
        <v>517</v>
      </c>
      <c r="C292" t="s">
        <v>305</v>
      </c>
      <c r="D292" t="s">
        <v>518</v>
      </c>
      <c r="E292" t="s">
        <v>24</v>
      </c>
      <c r="F292" t="s">
        <v>96</v>
      </c>
      <c r="G292">
        <v>18</v>
      </c>
      <c r="H292" t="s">
        <v>40</v>
      </c>
      <c r="I292" t="s">
        <v>519</v>
      </c>
      <c r="J292">
        <v>159026</v>
      </c>
      <c r="K292" t="s">
        <v>47</v>
      </c>
      <c r="L292" s="1">
        <v>42435.623611111114</v>
      </c>
      <c r="M292" s="1">
        <v>42435</v>
      </c>
      <c r="N292" s="3">
        <f>INT(BrightTV_JoinedTablesnw_2026_04_16_23_55_09[[#This Row],[Viewership.RecordDate22]])</f>
        <v>42435</v>
      </c>
      <c r="O292" s="2">
        <v>0.62361111111111112</v>
      </c>
      <c r="P292" t="s">
        <v>520</v>
      </c>
      <c r="Q292">
        <v>159026</v>
      </c>
      <c r="R292" t="s">
        <v>20</v>
      </c>
    </row>
    <row r="293" spans="1:18" x14ac:dyDescent="0.25">
      <c r="A293">
        <v>159156</v>
      </c>
      <c r="B293" t="s">
        <v>16</v>
      </c>
      <c r="C293" t="s">
        <v>16</v>
      </c>
      <c r="D293" t="s">
        <v>521</v>
      </c>
      <c r="E293" t="s">
        <v>16</v>
      </c>
      <c r="F293" t="s">
        <v>16</v>
      </c>
      <c r="G293">
        <v>0</v>
      </c>
      <c r="H293" t="s">
        <v>16</v>
      </c>
      <c r="I293" t="s">
        <v>16</v>
      </c>
      <c r="J293">
        <v>159156</v>
      </c>
      <c r="K293" t="s">
        <v>84</v>
      </c>
      <c r="L293" s="1">
        <v>42435.511805555558</v>
      </c>
      <c r="M293" s="1">
        <v>42435</v>
      </c>
      <c r="N293" s="3">
        <f>INT(BrightTV_JoinedTablesnw_2026_04_16_23_55_09[[#This Row],[Viewership.RecordDate22]])</f>
        <v>42435</v>
      </c>
      <c r="O293" s="2">
        <v>0.51180555555555551</v>
      </c>
      <c r="P293" t="s">
        <v>264</v>
      </c>
      <c r="Q293">
        <v>159156</v>
      </c>
      <c r="R293" t="s">
        <v>20</v>
      </c>
    </row>
    <row r="294" spans="1:18" x14ac:dyDescent="0.25">
      <c r="A294">
        <v>162937</v>
      </c>
      <c r="B294" t="s">
        <v>441</v>
      </c>
      <c r="C294" t="s">
        <v>148</v>
      </c>
      <c r="D294" t="s">
        <v>522</v>
      </c>
      <c r="E294" t="s">
        <v>38</v>
      </c>
      <c r="F294" t="s">
        <v>25</v>
      </c>
      <c r="G294">
        <v>24</v>
      </c>
      <c r="H294" t="s">
        <v>40</v>
      </c>
      <c r="I294" t="s">
        <v>443</v>
      </c>
      <c r="J294">
        <v>162937</v>
      </c>
      <c r="K294" t="s">
        <v>62</v>
      </c>
      <c r="L294" s="1">
        <v>42392.767361111109</v>
      </c>
      <c r="M294" s="1">
        <v>42392</v>
      </c>
      <c r="N294" s="3">
        <f>INT(BrightTV_JoinedTablesnw_2026_04_16_23_55_09[[#This Row],[Viewership.RecordDate22]])</f>
        <v>42392</v>
      </c>
      <c r="O294" s="2">
        <v>0.76736111111111116</v>
      </c>
      <c r="P294" t="s">
        <v>523</v>
      </c>
      <c r="Q294">
        <v>162937</v>
      </c>
      <c r="R294" t="s">
        <v>20</v>
      </c>
    </row>
    <row r="295" spans="1:18" x14ac:dyDescent="0.25">
      <c r="A295">
        <v>163109</v>
      </c>
      <c r="B295" t="s">
        <v>524</v>
      </c>
      <c r="C295" t="s">
        <v>525</v>
      </c>
      <c r="D295" t="s">
        <v>526</v>
      </c>
      <c r="E295" t="s">
        <v>38</v>
      </c>
      <c r="F295" t="s">
        <v>16</v>
      </c>
      <c r="G295">
        <v>21</v>
      </c>
      <c r="H295" t="s">
        <v>60</v>
      </c>
      <c r="I295" t="s">
        <v>527</v>
      </c>
      <c r="J295">
        <v>163109</v>
      </c>
      <c r="K295" t="s">
        <v>32</v>
      </c>
      <c r="L295" s="1">
        <v>42460.570138888892</v>
      </c>
      <c r="M295" s="1">
        <v>42460</v>
      </c>
      <c r="N295" s="3">
        <f>INT(BrightTV_JoinedTablesnw_2026_04_16_23_55_09[[#This Row],[Viewership.RecordDate22]])</f>
        <v>42460</v>
      </c>
      <c r="O295" s="2">
        <v>0.57013888888888886</v>
      </c>
      <c r="P295" t="s">
        <v>528</v>
      </c>
      <c r="Q295">
        <v>163109</v>
      </c>
      <c r="R295" t="s">
        <v>20</v>
      </c>
    </row>
    <row r="296" spans="1:18" x14ac:dyDescent="0.25">
      <c r="A296">
        <v>163109</v>
      </c>
      <c r="B296" t="s">
        <v>524</v>
      </c>
      <c r="C296" t="s">
        <v>525</v>
      </c>
      <c r="D296" t="s">
        <v>526</v>
      </c>
      <c r="E296" t="s">
        <v>38</v>
      </c>
      <c r="F296" t="s">
        <v>16</v>
      </c>
      <c r="G296">
        <v>21</v>
      </c>
      <c r="H296" t="s">
        <v>60</v>
      </c>
      <c r="I296" t="s">
        <v>527</v>
      </c>
      <c r="J296">
        <v>163109</v>
      </c>
      <c r="K296" t="s">
        <v>84</v>
      </c>
      <c r="L296" s="1">
        <v>42458.842361111114</v>
      </c>
      <c r="M296" s="1">
        <v>42458</v>
      </c>
      <c r="N296" s="3">
        <f>INT(BrightTV_JoinedTablesnw_2026_04_16_23_55_09[[#This Row],[Viewership.RecordDate22]])</f>
        <v>42458</v>
      </c>
      <c r="O296" s="2">
        <v>0.84236111111111112</v>
      </c>
      <c r="P296" t="s">
        <v>288</v>
      </c>
      <c r="Q296">
        <v>163109</v>
      </c>
      <c r="R296" t="s">
        <v>20</v>
      </c>
    </row>
    <row r="297" spans="1:18" x14ac:dyDescent="0.25">
      <c r="A297">
        <v>793652</v>
      </c>
      <c r="B297" t="s">
        <v>103</v>
      </c>
      <c r="C297" t="s">
        <v>94</v>
      </c>
      <c r="D297" t="s">
        <v>512</v>
      </c>
      <c r="E297" t="s">
        <v>38</v>
      </c>
      <c r="F297" t="s">
        <v>39</v>
      </c>
      <c r="G297">
        <v>32</v>
      </c>
      <c r="H297" t="s">
        <v>26</v>
      </c>
      <c r="I297" t="s">
        <v>107</v>
      </c>
      <c r="J297">
        <v>793652</v>
      </c>
      <c r="K297" t="s">
        <v>47</v>
      </c>
      <c r="L297" s="1">
        <v>42453.451388888891</v>
      </c>
      <c r="M297" s="1">
        <v>42453</v>
      </c>
      <c r="N297" s="3">
        <f>INT(BrightTV_JoinedTablesnw_2026_04_16_23_55_09[[#This Row],[Viewership.RecordDate22]])</f>
        <v>42453</v>
      </c>
      <c r="O297" s="2">
        <v>0.4513888888888889</v>
      </c>
      <c r="P297" t="s">
        <v>481</v>
      </c>
      <c r="Q297">
        <v>793652</v>
      </c>
      <c r="R297" t="s">
        <v>20</v>
      </c>
    </row>
    <row r="298" spans="1:18" x14ac:dyDescent="0.25">
      <c r="A298">
        <v>173765</v>
      </c>
      <c r="B298" t="s">
        <v>16</v>
      </c>
      <c r="C298" t="s">
        <v>16</v>
      </c>
      <c r="D298" t="s">
        <v>529</v>
      </c>
      <c r="E298" t="s">
        <v>16</v>
      </c>
      <c r="F298" t="s">
        <v>16</v>
      </c>
      <c r="G298">
        <v>0</v>
      </c>
      <c r="H298" t="s">
        <v>16</v>
      </c>
      <c r="I298" t="s">
        <v>16</v>
      </c>
      <c r="J298">
        <v>173765</v>
      </c>
      <c r="K298" t="s">
        <v>77</v>
      </c>
      <c r="L298" s="1">
        <v>42377.395138888889</v>
      </c>
      <c r="M298" s="1">
        <v>42377</v>
      </c>
      <c r="N298" s="3">
        <f>INT(BrightTV_JoinedTablesnw_2026_04_16_23_55_09[[#This Row],[Viewership.RecordDate22]])</f>
        <v>42377</v>
      </c>
      <c r="O298" s="2">
        <v>0.39513888888888887</v>
      </c>
      <c r="P298" t="s">
        <v>185</v>
      </c>
      <c r="Q298">
        <v>173765</v>
      </c>
      <c r="R298" t="s">
        <v>20</v>
      </c>
    </row>
    <row r="299" spans="1:18" x14ac:dyDescent="0.25">
      <c r="A299">
        <v>809008</v>
      </c>
      <c r="B299" t="s">
        <v>524</v>
      </c>
      <c r="C299" t="s">
        <v>104</v>
      </c>
      <c r="D299" t="s">
        <v>530</v>
      </c>
      <c r="E299" t="s">
        <v>38</v>
      </c>
      <c r="F299" t="s">
        <v>96</v>
      </c>
      <c r="G299">
        <v>28</v>
      </c>
      <c r="H299" t="s">
        <v>173</v>
      </c>
      <c r="I299" t="s">
        <v>527</v>
      </c>
      <c r="J299">
        <v>809008</v>
      </c>
      <c r="K299" t="s">
        <v>32</v>
      </c>
      <c r="L299" s="1">
        <v>42432.888194444444</v>
      </c>
      <c r="M299" s="1">
        <v>42432</v>
      </c>
      <c r="N299" s="3">
        <f>INT(BrightTV_JoinedTablesnw_2026_04_16_23_55_09[[#This Row],[Viewership.RecordDate22]])</f>
        <v>42432</v>
      </c>
      <c r="O299" s="2">
        <v>0.8881944444444444</v>
      </c>
      <c r="P299" t="s">
        <v>100</v>
      </c>
      <c r="Q299">
        <v>809008</v>
      </c>
      <c r="R299" t="s">
        <v>20</v>
      </c>
    </row>
    <row r="300" spans="1:18" x14ac:dyDescent="0.25">
      <c r="A300">
        <v>809008</v>
      </c>
      <c r="B300" t="s">
        <v>524</v>
      </c>
      <c r="C300" t="s">
        <v>104</v>
      </c>
      <c r="D300" t="s">
        <v>530</v>
      </c>
      <c r="E300" t="s">
        <v>38</v>
      </c>
      <c r="F300" t="s">
        <v>96</v>
      </c>
      <c r="G300">
        <v>28</v>
      </c>
      <c r="H300" t="s">
        <v>173</v>
      </c>
      <c r="I300" t="s">
        <v>527</v>
      </c>
      <c r="J300">
        <v>809008</v>
      </c>
      <c r="K300" t="s">
        <v>480</v>
      </c>
      <c r="L300" s="1">
        <v>42432.859722222223</v>
      </c>
      <c r="M300" s="1">
        <v>42432</v>
      </c>
      <c r="N300" s="3">
        <f>INT(BrightTV_JoinedTablesnw_2026_04_16_23_55_09[[#This Row],[Viewership.RecordDate22]])</f>
        <v>42432</v>
      </c>
      <c r="O300" s="2">
        <v>0.85972222222222228</v>
      </c>
      <c r="P300" t="s">
        <v>264</v>
      </c>
      <c r="Q300">
        <v>809008</v>
      </c>
      <c r="R300" t="s">
        <v>20</v>
      </c>
    </row>
    <row r="301" spans="1:18" x14ac:dyDescent="0.25">
      <c r="A301">
        <v>809008</v>
      </c>
      <c r="B301" t="s">
        <v>524</v>
      </c>
      <c r="C301" t="s">
        <v>104</v>
      </c>
      <c r="D301" t="s">
        <v>530</v>
      </c>
      <c r="E301" t="s">
        <v>38</v>
      </c>
      <c r="F301" t="s">
        <v>96</v>
      </c>
      <c r="G301">
        <v>28</v>
      </c>
      <c r="H301" t="s">
        <v>173</v>
      </c>
      <c r="I301" t="s">
        <v>527</v>
      </c>
      <c r="J301">
        <v>809008</v>
      </c>
      <c r="K301" t="s">
        <v>129</v>
      </c>
      <c r="L301" s="1">
        <v>42434.504166666666</v>
      </c>
      <c r="M301" s="1">
        <v>42434</v>
      </c>
      <c r="N301" s="3">
        <f>INT(BrightTV_JoinedTablesnw_2026_04_16_23_55_09[[#This Row],[Viewership.RecordDate22]])</f>
        <v>42434</v>
      </c>
      <c r="O301" s="2">
        <v>0.50416666666666665</v>
      </c>
      <c r="P301" t="s">
        <v>531</v>
      </c>
      <c r="Q301">
        <v>809008</v>
      </c>
      <c r="R301" t="s">
        <v>20</v>
      </c>
    </row>
    <row r="302" spans="1:18" x14ac:dyDescent="0.25">
      <c r="A302">
        <v>809008</v>
      </c>
      <c r="B302" t="s">
        <v>524</v>
      </c>
      <c r="C302" t="s">
        <v>104</v>
      </c>
      <c r="D302" t="s">
        <v>530</v>
      </c>
      <c r="E302" t="s">
        <v>38</v>
      </c>
      <c r="F302" t="s">
        <v>96</v>
      </c>
      <c r="G302">
        <v>28</v>
      </c>
      <c r="H302" t="s">
        <v>173</v>
      </c>
      <c r="I302" t="s">
        <v>527</v>
      </c>
      <c r="J302">
        <v>809008</v>
      </c>
      <c r="K302" t="s">
        <v>54</v>
      </c>
      <c r="L302" s="1">
        <v>42434.657638888886</v>
      </c>
      <c r="M302" s="1">
        <v>42434</v>
      </c>
      <c r="N302" s="3">
        <f>INT(BrightTV_JoinedTablesnw_2026_04_16_23_55_09[[#This Row],[Viewership.RecordDate22]])</f>
        <v>42434</v>
      </c>
      <c r="O302" s="2">
        <v>0.65763888888888888</v>
      </c>
      <c r="P302" t="s">
        <v>532</v>
      </c>
      <c r="Q302">
        <v>809008</v>
      </c>
      <c r="R302" t="s">
        <v>20</v>
      </c>
    </row>
    <row r="303" spans="1:18" x14ac:dyDescent="0.25">
      <c r="A303">
        <v>809008</v>
      </c>
      <c r="B303" t="s">
        <v>524</v>
      </c>
      <c r="C303" t="s">
        <v>104</v>
      </c>
      <c r="D303" t="s">
        <v>530</v>
      </c>
      <c r="E303" t="s">
        <v>38</v>
      </c>
      <c r="F303" t="s">
        <v>96</v>
      </c>
      <c r="G303">
        <v>28</v>
      </c>
      <c r="H303" t="s">
        <v>173</v>
      </c>
      <c r="I303" t="s">
        <v>527</v>
      </c>
      <c r="J303">
        <v>809008</v>
      </c>
      <c r="K303" t="s">
        <v>84</v>
      </c>
      <c r="L303" s="1">
        <v>42428.686111111114</v>
      </c>
      <c r="M303" s="1">
        <v>42428</v>
      </c>
      <c r="N303" s="3">
        <f>INT(BrightTV_JoinedTablesnw_2026_04_16_23_55_09[[#This Row],[Viewership.RecordDate22]])</f>
        <v>42428</v>
      </c>
      <c r="O303" s="2">
        <v>0.68611111111111112</v>
      </c>
      <c r="P303" t="s">
        <v>533</v>
      </c>
      <c r="Q303">
        <v>809008</v>
      </c>
      <c r="R303" t="s">
        <v>20</v>
      </c>
    </row>
    <row r="304" spans="1:18" x14ac:dyDescent="0.25">
      <c r="A304">
        <v>809008</v>
      </c>
      <c r="B304" t="s">
        <v>524</v>
      </c>
      <c r="C304" t="s">
        <v>104</v>
      </c>
      <c r="D304" t="s">
        <v>530</v>
      </c>
      <c r="E304" t="s">
        <v>38</v>
      </c>
      <c r="F304" t="s">
        <v>96</v>
      </c>
      <c r="G304">
        <v>28</v>
      </c>
      <c r="H304" t="s">
        <v>173</v>
      </c>
      <c r="I304" t="s">
        <v>527</v>
      </c>
      <c r="J304">
        <v>809008</v>
      </c>
      <c r="K304" t="s">
        <v>18</v>
      </c>
      <c r="L304" s="1">
        <v>42438.59097222222</v>
      </c>
      <c r="M304" s="1">
        <v>42438</v>
      </c>
      <c r="N304" s="3">
        <f>INT(BrightTV_JoinedTablesnw_2026_04_16_23_55_09[[#This Row],[Viewership.RecordDate22]])</f>
        <v>42438</v>
      </c>
      <c r="O304" s="2">
        <v>0.59097222222222223</v>
      </c>
      <c r="P304" t="s">
        <v>371</v>
      </c>
      <c r="Q304">
        <v>809008</v>
      </c>
      <c r="R304" t="s">
        <v>20</v>
      </c>
    </row>
    <row r="305" spans="1:18" x14ac:dyDescent="0.25">
      <c r="A305">
        <v>809008</v>
      </c>
      <c r="B305" t="s">
        <v>524</v>
      </c>
      <c r="C305" t="s">
        <v>104</v>
      </c>
      <c r="D305" t="s">
        <v>530</v>
      </c>
      <c r="E305" t="s">
        <v>38</v>
      </c>
      <c r="F305" t="s">
        <v>96</v>
      </c>
      <c r="G305">
        <v>28</v>
      </c>
      <c r="H305" t="s">
        <v>173</v>
      </c>
      <c r="I305" t="s">
        <v>527</v>
      </c>
      <c r="J305">
        <v>809008</v>
      </c>
      <c r="K305" t="s">
        <v>54</v>
      </c>
      <c r="L305" s="1">
        <v>42430.885416666664</v>
      </c>
      <c r="M305" s="1">
        <v>42430</v>
      </c>
      <c r="N305" s="3">
        <f>INT(BrightTV_JoinedTablesnw_2026_04_16_23_55_09[[#This Row],[Viewership.RecordDate22]])</f>
        <v>42430</v>
      </c>
      <c r="O305" s="2">
        <v>0.88541666666666663</v>
      </c>
      <c r="P305" t="s">
        <v>534</v>
      </c>
      <c r="Q305">
        <v>809008</v>
      </c>
      <c r="R305" t="s">
        <v>20</v>
      </c>
    </row>
    <row r="306" spans="1:18" x14ac:dyDescent="0.25">
      <c r="A306">
        <v>178022</v>
      </c>
      <c r="B306" t="s">
        <v>103</v>
      </c>
      <c r="C306" t="s">
        <v>155</v>
      </c>
      <c r="D306" t="s">
        <v>512</v>
      </c>
      <c r="E306" t="s">
        <v>38</v>
      </c>
      <c r="F306" t="s">
        <v>25</v>
      </c>
      <c r="G306">
        <v>54</v>
      </c>
      <c r="H306" t="s">
        <v>75</v>
      </c>
      <c r="I306" t="s">
        <v>107</v>
      </c>
      <c r="J306">
        <v>178022</v>
      </c>
      <c r="K306" t="s">
        <v>18</v>
      </c>
      <c r="L306" s="1">
        <v>42458.618750000001</v>
      </c>
      <c r="M306" s="1">
        <v>42458</v>
      </c>
      <c r="N306" s="3">
        <f>INT(BrightTV_JoinedTablesnw_2026_04_16_23_55_09[[#This Row],[Viewership.RecordDate22]])</f>
        <v>42458</v>
      </c>
      <c r="O306" s="2">
        <v>0.61875000000000002</v>
      </c>
      <c r="P306" t="s">
        <v>535</v>
      </c>
      <c r="Q306">
        <v>178022</v>
      </c>
      <c r="R306" t="s">
        <v>20</v>
      </c>
    </row>
    <row r="307" spans="1:18" x14ac:dyDescent="0.25">
      <c r="A307">
        <v>771881</v>
      </c>
      <c r="B307" t="s">
        <v>317</v>
      </c>
      <c r="C307" t="s">
        <v>22</v>
      </c>
      <c r="D307" t="s">
        <v>536</v>
      </c>
      <c r="E307" t="s">
        <v>38</v>
      </c>
      <c r="F307" t="s">
        <v>39</v>
      </c>
      <c r="G307">
        <v>31</v>
      </c>
      <c r="H307" t="s">
        <v>40</v>
      </c>
      <c r="I307" t="s">
        <v>319</v>
      </c>
      <c r="J307">
        <v>771881</v>
      </c>
      <c r="K307" t="s">
        <v>30</v>
      </c>
      <c r="L307" s="1">
        <v>42451.393055555556</v>
      </c>
      <c r="M307" s="1">
        <v>42451</v>
      </c>
      <c r="N307" s="3">
        <f>INT(BrightTV_JoinedTablesnw_2026_04_16_23_55_09[[#This Row],[Viewership.RecordDate22]])</f>
        <v>42451</v>
      </c>
      <c r="O307" s="2">
        <v>0.39305555555555555</v>
      </c>
      <c r="P307" t="s">
        <v>264</v>
      </c>
      <c r="Q307">
        <v>771881</v>
      </c>
      <c r="R307" t="s">
        <v>20</v>
      </c>
    </row>
    <row r="308" spans="1:18" x14ac:dyDescent="0.25">
      <c r="A308">
        <v>771881</v>
      </c>
      <c r="B308" t="s">
        <v>317</v>
      </c>
      <c r="C308" t="s">
        <v>22</v>
      </c>
      <c r="D308" t="s">
        <v>536</v>
      </c>
      <c r="E308" t="s">
        <v>38</v>
      </c>
      <c r="F308" t="s">
        <v>39</v>
      </c>
      <c r="G308">
        <v>31</v>
      </c>
      <c r="H308" t="s">
        <v>40</v>
      </c>
      <c r="I308" t="s">
        <v>319</v>
      </c>
      <c r="J308">
        <v>771881</v>
      </c>
      <c r="K308" t="s">
        <v>129</v>
      </c>
      <c r="L308" s="1">
        <v>42387.662499999999</v>
      </c>
      <c r="M308" s="1">
        <v>42387</v>
      </c>
      <c r="N308" s="3">
        <f>INT(BrightTV_JoinedTablesnw_2026_04_16_23_55_09[[#This Row],[Viewership.RecordDate22]])</f>
        <v>42387</v>
      </c>
      <c r="O308" s="2">
        <v>0.66249999999999998</v>
      </c>
      <c r="P308" t="s">
        <v>537</v>
      </c>
      <c r="Q308">
        <v>771881</v>
      </c>
      <c r="R308" t="s">
        <v>20</v>
      </c>
    </row>
    <row r="309" spans="1:18" x14ac:dyDescent="0.25">
      <c r="A309">
        <v>771881</v>
      </c>
      <c r="B309" t="s">
        <v>317</v>
      </c>
      <c r="C309" t="s">
        <v>22</v>
      </c>
      <c r="D309" t="s">
        <v>536</v>
      </c>
      <c r="E309" t="s">
        <v>38</v>
      </c>
      <c r="F309" t="s">
        <v>39</v>
      </c>
      <c r="G309">
        <v>31</v>
      </c>
      <c r="H309" t="s">
        <v>40</v>
      </c>
      <c r="I309" t="s">
        <v>319</v>
      </c>
      <c r="J309">
        <v>771881</v>
      </c>
      <c r="K309" t="s">
        <v>129</v>
      </c>
      <c r="L309" s="1">
        <v>42389.796527777777</v>
      </c>
      <c r="M309" s="1">
        <v>42389</v>
      </c>
      <c r="N309" s="3">
        <f>INT(BrightTV_JoinedTablesnw_2026_04_16_23_55_09[[#This Row],[Viewership.RecordDate22]])</f>
        <v>42389</v>
      </c>
      <c r="O309" s="2">
        <v>0.79652777777777772</v>
      </c>
      <c r="P309" t="s">
        <v>538</v>
      </c>
      <c r="Q309">
        <v>771881</v>
      </c>
      <c r="R309" t="s">
        <v>20</v>
      </c>
    </row>
    <row r="310" spans="1:18" x14ac:dyDescent="0.25">
      <c r="A310">
        <v>771881</v>
      </c>
      <c r="B310" t="s">
        <v>317</v>
      </c>
      <c r="C310" t="s">
        <v>22</v>
      </c>
      <c r="D310" t="s">
        <v>536</v>
      </c>
      <c r="E310" t="s">
        <v>38</v>
      </c>
      <c r="F310" t="s">
        <v>39</v>
      </c>
      <c r="G310">
        <v>31</v>
      </c>
      <c r="H310" t="s">
        <v>40</v>
      </c>
      <c r="I310" t="s">
        <v>319</v>
      </c>
      <c r="J310">
        <v>771881</v>
      </c>
      <c r="K310" t="s">
        <v>47</v>
      </c>
      <c r="L310" s="1">
        <v>42449.744444444441</v>
      </c>
      <c r="M310" s="1">
        <v>42449</v>
      </c>
      <c r="N310" s="3">
        <f>INT(BrightTV_JoinedTablesnw_2026_04_16_23_55_09[[#This Row],[Viewership.RecordDate22]])</f>
        <v>42449</v>
      </c>
      <c r="O310" s="2">
        <v>0.74444444444444446</v>
      </c>
      <c r="P310" t="s">
        <v>324</v>
      </c>
      <c r="Q310">
        <v>771881</v>
      </c>
      <c r="R310" t="s">
        <v>20</v>
      </c>
    </row>
    <row r="311" spans="1:18" x14ac:dyDescent="0.25">
      <c r="A311">
        <v>190586</v>
      </c>
      <c r="B311" t="s">
        <v>16</v>
      </c>
      <c r="C311" t="s">
        <v>16</v>
      </c>
      <c r="D311" t="s">
        <v>539</v>
      </c>
      <c r="E311" t="s">
        <v>16</v>
      </c>
      <c r="F311" t="s">
        <v>16</v>
      </c>
      <c r="G311">
        <v>0</v>
      </c>
      <c r="H311" t="s">
        <v>16</v>
      </c>
      <c r="I311" t="s">
        <v>16</v>
      </c>
      <c r="J311">
        <v>190586</v>
      </c>
      <c r="K311" t="s">
        <v>30</v>
      </c>
      <c r="L311" s="1">
        <v>42386.796527777777</v>
      </c>
      <c r="M311" s="1">
        <v>42386</v>
      </c>
      <c r="N311" s="3">
        <f>INT(BrightTV_JoinedTablesnw_2026_04_16_23_55_09[[#This Row],[Viewership.RecordDate22]])</f>
        <v>42386</v>
      </c>
      <c r="O311" s="2">
        <v>0.79652777777777772</v>
      </c>
      <c r="P311" t="s">
        <v>540</v>
      </c>
      <c r="Q311">
        <v>190586</v>
      </c>
      <c r="R311" t="s">
        <v>20</v>
      </c>
    </row>
    <row r="312" spans="1:18" x14ac:dyDescent="0.25">
      <c r="A312">
        <v>771882</v>
      </c>
      <c r="B312" t="s">
        <v>317</v>
      </c>
      <c r="C312" t="s">
        <v>104</v>
      </c>
      <c r="D312" t="s">
        <v>318</v>
      </c>
      <c r="E312" t="s">
        <v>38</v>
      </c>
      <c r="F312" t="s">
        <v>39</v>
      </c>
      <c r="G312">
        <v>27</v>
      </c>
      <c r="H312" t="s">
        <v>40</v>
      </c>
      <c r="I312" t="s">
        <v>319</v>
      </c>
      <c r="J312">
        <v>771882</v>
      </c>
      <c r="K312" t="s">
        <v>84</v>
      </c>
      <c r="L312" s="1">
        <v>42394.779861111114</v>
      </c>
      <c r="M312" s="1">
        <v>42394</v>
      </c>
      <c r="N312" s="3">
        <f>INT(BrightTV_JoinedTablesnw_2026_04_16_23_55_09[[#This Row],[Viewership.RecordDate22]])</f>
        <v>42394</v>
      </c>
      <c r="O312" s="2">
        <v>0.77986111111111112</v>
      </c>
      <c r="P312" t="s">
        <v>369</v>
      </c>
      <c r="Q312">
        <v>771882</v>
      </c>
      <c r="R312" t="s">
        <v>20</v>
      </c>
    </row>
    <row r="313" spans="1:18" x14ac:dyDescent="0.25">
      <c r="A313">
        <v>771882</v>
      </c>
      <c r="B313" t="s">
        <v>317</v>
      </c>
      <c r="C313" t="s">
        <v>104</v>
      </c>
      <c r="D313" t="s">
        <v>318</v>
      </c>
      <c r="E313" t="s">
        <v>38</v>
      </c>
      <c r="F313" t="s">
        <v>39</v>
      </c>
      <c r="G313">
        <v>27</v>
      </c>
      <c r="H313" t="s">
        <v>40</v>
      </c>
      <c r="I313" t="s">
        <v>319</v>
      </c>
      <c r="J313">
        <v>771882</v>
      </c>
      <c r="K313" t="s">
        <v>129</v>
      </c>
      <c r="L313" s="1">
        <v>42389.525694444441</v>
      </c>
      <c r="M313" s="1">
        <v>42389</v>
      </c>
      <c r="N313" s="3">
        <f>INT(BrightTV_JoinedTablesnw_2026_04_16_23_55_09[[#This Row],[Viewership.RecordDate22]])</f>
        <v>42389</v>
      </c>
      <c r="O313" s="2">
        <v>0.52569444444444446</v>
      </c>
      <c r="P313" t="s">
        <v>541</v>
      </c>
      <c r="Q313">
        <v>771882</v>
      </c>
      <c r="R313" t="s">
        <v>20</v>
      </c>
    </row>
    <row r="314" spans="1:18" x14ac:dyDescent="0.25">
      <c r="A314">
        <v>771882</v>
      </c>
      <c r="B314" t="s">
        <v>317</v>
      </c>
      <c r="C314" t="s">
        <v>104</v>
      </c>
      <c r="D314" t="s">
        <v>318</v>
      </c>
      <c r="E314" t="s">
        <v>38</v>
      </c>
      <c r="F314" t="s">
        <v>39</v>
      </c>
      <c r="G314">
        <v>27</v>
      </c>
      <c r="H314" t="s">
        <v>40</v>
      </c>
      <c r="I314" t="s">
        <v>319</v>
      </c>
      <c r="J314">
        <v>771882</v>
      </c>
      <c r="K314" t="s">
        <v>84</v>
      </c>
      <c r="L314" s="1">
        <v>42418.04791666667</v>
      </c>
      <c r="M314" s="1">
        <v>42418</v>
      </c>
      <c r="N314" s="3">
        <f>INT(BrightTV_JoinedTablesnw_2026_04_16_23_55_09[[#This Row],[Viewership.RecordDate22]])</f>
        <v>42418</v>
      </c>
      <c r="O314" s="2">
        <v>4.791666666666667E-2</v>
      </c>
      <c r="P314" t="s">
        <v>55</v>
      </c>
      <c r="Q314">
        <v>771882</v>
      </c>
      <c r="R314" t="s">
        <v>20</v>
      </c>
    </row>
    <row r="315" spans="1:18" x14ac:dyDescent="0.25">
      <c r="A315">
        <v>206207</v>
      </c>
      <c r="B315" t="s">
        <v>542</v>
      </c>
      <c r="C315" t="s">
        <v>543</v>
      </c>
      <c r="D315" t="s">
        <v>544</v>
      </c>
      <c r="E315" t="s">
        <v>38</v>
      </c>
      <c r="F315" t="s">
        <v>106</v>
      </c>
      <c r="G315">
        <v>27</v>
      </c>
      <c r="H315" t="s">
        <v>40</v>
      </c>
      <c r="I315" t="s">
        <v>545</v>
      </c>
      <c r="J315">
        <v>206207</v>
      </c>
      <c r="K315" t="s">
        <v>62</v>
      </c>
      <c r="L315" s="1">
        <v>42459.637499999997</v>
      </c>
      <c r="M315" s="1">
        <v>42459</v>
      </c>
      <c r="N315" s="3">
        <f>INT(BrightTV_JoinedTablesnw_2026_04_16_23_55_09[[#This Row],[Viewership.RecordDate22]])</f>
        <v>42459</v>
      </c>
      <c r="O315" s="2">
        <v>0.63749999999999996</v>
      </c>
      <c r="P315" t="s">
        <v>144</v>
      </c>
      <c r="Q315">
        <v>206207</v>
      </c>
      <c r="R315" t="s">
        <v>20</v>
      </c>
    </row>
    <row r="316" spans="1:18" x14ac:dyDescent="0.25">
      <c r="A316">
        <v>809010</v>
      </c>
      <c r="B316" t="s">
        <v>437</v>
      </c>
      <c r="C316" t="s">
        <v>36</v>
      </c>
      <c r="D316" t="s">
        <v>546</v>
      </c>
      <c r="E316" t="s">
        <v>38</v>
      </c>
      <c r="F316" t="s">
        <v>96</v>
      </c>
      <c r="G316">
        <v>31</v>
      </c>
      <c r="H316" t="s">
        <v>40</v>
      </c>
      <c r="I316" t="s">
        <v>439</v>
      </c>
      <c r="J316">
        <v>809010</v>
      </c>
      <c r="K316" t="s">
        <v>84</v>
      </c>
      <c r="L316" s="1">
        <v>42414.48333333333</v>
      </c>
      <c r="M316" s="1">
        <v>42414</v>
      </c>
      <c r="N316" s="3">
        <f>INT(BrightTV_JoinedTablesnw_2026_04_16_23_55_09[[#This Row],[Viewership.RecordDate22]])</f>
        <v>42414</v>
      </c>
      <c r="O316" s="2">
        <v>0.48333333333333334</v>
      </c>
      <c r="P316" t="s">
        <v>547</v>
      </c>
      <c r="Q316">
        <v>809010</v>
      </c>
      <c r="R316" t="s">
        <v>20</v>
      </c>
    </row>
    <row r="317" spans="1:18" x14ac:dyDescent="0.25">
      <c r="A317">
        <v>809010</v>
      </c>
      <c r="B317" t="s">
        <v>437</v>
      </c>
      <c r="C317" t="s">
        <v>36</v>
      </c>
      <c r="D317" t="s">
        <v>546</v>
      </c>
      <c r="E317" t="s">
        <v>38</v>
      </c>
      <c r="F317" t="s">
        <v>96</v>
      </c>
      <c r="G317">
        <v>31</v>
      </c>
      <c r="H317" t="s">
        <v>40</v>
      </c>
      <c r="I317" t="s">
        <v>439</v>
      </c>
      <c r="J317">
        <v>809010</v>
      </c>
      <c r="K317" t="s">
        <v>84</v>
      </c>
      <c r="L317" s="1">
        <v>42416.69027777778</v>
      </c>
      <c r="M317" s="1">
        <v>42416</v>
      </c>
      <c r="N317" s="3">
        <f>INT(BrightTV_JoinedTablesnw_2026_04_16_23_55_09[[#This Row],[Viewership.RecordDate22]])</f>
        <v>42416</v>
      </c>
      <c r="O317" s="2">
        <v>0.69027777777777777</v>
      </c>
      <c r="P317" t="s">
        <v>548</v>
      </c>
      <c r="Q317">
        <v>809010</v>
      </c>
      <c r="R317" t="s">
        <v>20</v>
      </c>
    </row>
    <row r="318" spans="1:18" x14ac:dyDescent="0.25">
      <c r="A318">
        <v>809010</v>
      </c>
      <c r="B318" t="s">
        <v>437</v>
      </c>
      <c r="C318" t="s">
        <v>36</v>
      </c>
      <c r="D318" t="s">
        <v>546</v>
      </c>
      <c r="E318" t="s">
        <v>38</v>
      </c>
      <c r="F318" t="s">
        <v>96</v>
      </c>
      <c r="G318">
        <v>31</v>
      </c>
      <c r="H318" t="s">
        <v>40</v>
      </c>
      <c r="I318" t="s">
        <v>439</v>
      </c>
      <c r="J318">
        <v>809010</v>
      </c>
      <c r="K318" t="s">
        <v>77</v>
      </c>
      <c r="L318" s="1">
        <v>42416.488888888889</v>
      </c>
      <c r="M318" s="1">
        <v>42416</v>
      </c>
      <c r="N318" s="3">
        <f>INT(BrightTV_JoinedTablesnw_2026_04_16_23_55_09[[#This Row],[Viewership.RecordDate22]])</f>
        <v>42416</v>
      </c>
      <c r="O318" s="2">
        <v>0.48888888888888887</v>
      </c>
      <c r="P318" t="s">
        <v>141</v>
      </c>
      <c r="Q318">
        <v>809010</v>
      </c>
      <c r="R318" t="s">
        <v>20</v>
      </c>
    </row>
    <row r="319" spans="1:18" x14ac:dyDescent="0.25">
      <c r="A319">
        <v>211993</v>
      </c>
      <c r="B319" t="s">
        <v>16</v>
      </c>
      <c r="C319" t="s">
        <v>16</v>
      </c>
      <c r="D319" t="s">
        <v>549</v>
      </c>
      <c r="E319" t="s">
        <v>16</v>
      </c>
      <c r="F319" t="s">
        <v>16</v>
      </c>
      <c r="G319">
        <v>0</v>
      </c>
      <c r="H319" t="s">
        <v>16</v>
      </c>
      <c r="I319" t="s">
        <v>16</v>
      </c>
      <c r="J319">
        <v>211993</v>
      </c>
      <c r="K319" t="s">
        <v>169</v>
      </c>
      <c r="L319" s="1">
        <v>42424.338888888888</v>
      </c>
      <c r="M319" s="1">
        <v>42424</v>
      </c>
      <c r="N319" s="3">
        <f>INT(BrightTV_JoinedTablesnw_2026_04_16_23_55_09[[#This Row],[Viewership.RecordDate22]])</f>
        <v>42424</v>
      </c>
      <c r="O319" s="2">
        <v>0.33888888888888891</v>
      </c>
      <c r="P319" t="s">
        <v>313</v>
      </c>
      <c r="Q319">
        <v>211993</v>
      </c>
      <c r="R319" t="s">
        <v>20</v>
      </c>
    </row>
    <row r="320" spans="1:18" x14ac:dyDescent="0.25">
      <c r="A320">
        <v>764396</v>
      </c>
      <c r="B320" t="s">
        <v>550</v>
      </c>
      <c r="C320" t="s">
        <v>73</v>
      </c>
      <c r="D320" t="s">
        <v>551</v>
      </c>
      <c r="E320" t="s">
        <v>38</v>
      </c>
      <c r="F320" t="s">
        <v>25</v>
      </c>
      <c r="G320">
        <v>52</v>
      </c>
      <c r="H320" t="s">
        <v>26</v>
      </c>
      <c r="I320" t="s">
        <v>552</v>
      </c>
      <c r="J320">
        <v>764396</v>
      </c>
      <c r="K320" t="s">
        <v>47</v>
      </c>
      <c r="L320" s="1">
        <v>42393.90347222222</v>
      </c>
      <c r="M320" s="1">
        <v>42393</v>
      </c>
      <c r="N320" s="3">
        <f>INT(BrightTV_JoinedTablesnw_2026_04_16_23_55_09[[#This Row],[Viewership.RecordDate22]])</f>
        <v>42393</v>
      </c>
      <c r="O320" s="2">
        <v>0.90347222222222223</v>
      </c>
      <c r="P320" t="s">
        <v>503</v>
      </c>
      <c r="Q320">
        <v>764396</v>
      </c>
      <c r="R320" t="s">
        <v>20</v>
      </c>
    </row>
    <row r="321" spans="1:18" x14ac:dyDescent="0.25">
      <c r="A321">
        <v>764396</v>
      </c>
      <c r="B321" t="s">
        <v>550</v>
      </c>
      <c r="C321" t="s">
        <v>73</v>
      </c>
      <c r="D321" t="s">
        <v>551</v>
      </c>
      <c r="E321" t="s">
        <v>38</v>
      </c>
      <c r="F321" t="s">
        <v>25</v>
      </c>
      <c r="G321">
        <v>52</v>
      </c>
      <c r="H321" t="s">
        <v>26</v>
      </c>
      <c r="I321" t="s">
        <v>552</v>
      </c>
      <c r="J321">
        <v>764396</v>
      </c>
      <c r="K321" t="s">
        <v>169</v>
      </c>
      <c r="L321" s="1">
        <v>42394.443749999999</v>
      </c>
      <c r="M321" s="1">
        <v>42394</v>
      </c>
      <c r="N321" s="3">
        <f>INT(BrightTV_JoinedTablesnw_2026_04_16_23_55_09[[#This Row],[Viewership.RecordDate22]])</f>
        <v>42394</v>
      </c>
      <c r="O321" s="2">
        <v>0.44374999999999998</v>
      </c>
      <c r="P321" t="s">
        <v>553</v>
      </c>
      <c r="Q321">
        <v>764396</v>
      </c>
      <c r="R321" t="s">
        <v>20</v>
      </c>
    </row>
    <row r="322" spans="1:18" x14ac:dyDescent="0.25">
      <c r="A322">
        <v>764396</v>
      </c>
      <c r="B322" t="s">
        <v>550</v>
      </c>
      <c r="C322" t="s">
        <v>73</v>
      </c>
      <c r="D322" t="s">
        <v>551</v>
      </c>
      <c r="E322" t="s">
        <v>38</v>
      </c>
      <c r="F322" t="s">
        <v>25</v>
      </c>
      <c r="G322">
        <v>52</v>
      </c>
      <c r="H322" t="s">
        <v>26</v>
      </c>
      <c r="I322" t="s">
        <v>552</v>
      </c>
      <c r="J322">
        <v>764396</v>
      </c>
      <c r="K322" t="s">
        <v>30</v>
      </c>
      <c r="L322" s="1">
        <v>42377.243750000001</v>
      </c>
      <c r="M322" s="1">
        <v>42377</v>
      </c>
      <c r="N322" s="3">
        <f>INT(BrightTV_JoinedTablesnw_2026_04_16_23_55_09[[#This Row],[Viewership.RecordDate22]])</f>
        <v>42377</v>
      </c>
      <c r="O322" s="2">
        <v>0.24374999999999999</v>
      </c>
      <c r="P322" t="s">
        <v>554</v>
      </c>
      <c r="Q322">
        <v>764396</v>
      </c>
      <c r="R322" t="s">
        <v>20</v>
      </c>
    </row>
    <row r="323" spans="1:18" x14ac:dyDescent="0.25">
      <c r="A323">
        <v>764396</v>
      </c>
      <c r="B323" t="s">
        <v>550</v>
      </c>
      <c r="C323" t="s">
        <v>73</v>
      </c>
      <c r="D323" t="s">
        <v>551</v>
      </c>
      <c r="E323" t="s">
        <v>38</v>
      </c>
      <c r="F323" t="s">
        <v>25</v>
      </c>
      <c r="G323">
        <v>52</v>
      </c>
      <c r="H323" t="s">
        <v>26</v>
      </c>
      <c r="I323" t="s">
        <v>552</v>
      </c>
      <c r="J323">
        <v>764396</v>
      </c>
      <c r="K323" t="s">
        <v>84</v>
      </c>
      <c r="L323" s="1">
        <v>42391.241666666669</v>
      </c>
      <c r="M323" s="1">
        <v>42391</v>
      </c>
      <c r="N323" s="3">
        <f>INT(BrightTV_JoinedTablesnw_2026_04_16_23_55_09[[#This Row],[Viewership.RecordDate22]])</f>
        <v>42391</v>
      </c>
      <c r="O323" s="2">
        <v>0.24166666666666667</v>
      </c>
      <c r="P323" t="s">
        <v>288</v>
      </c>
      <c r="Q323">
        <v>764396</v>
      </c>
      <c r="R323" t="s">
        <v>20</v>
      </c>
    </row>
    <row r="324" spans="1:18" x14ac:dyDescent="0.25">
      <c r="A324">
        <v>764396</v>
      </c>
      <c r="B324" t="s">
        <v>550</v>
      </c>
      <c r="C324" t="s">
        <v>73</v>
      </c>
      <c r="D324" t="s">
        <v>551</v>
      </c>
      <c r="E324" t="s">
        <v>38</v>
      </c>
      <c r="F324" t="s">
        <v>25</v>
      </c>
      <c r="G324">
        <v>52</v>
      </c>
      <c r="H324" t="s">
        <v>26</v>
      </c>
      <c r="I324" t="s">
        <v>552</v>
      </c>
      <c r="J324">
        <v>764396</v>
      </c>
      <c r="K324" t="s">
        <v>84</v>
      </c>
      <c r="L324" s="1">
        <v>42387.317361111112</v>
      </c>
      <c r="M324" s="1">
        <v>42387</v>
      </c>
      <c r="N324" s="3">
        <f>INT(BrightTV_JoinedTablesnw_2026_04_16_23_55_09[[#This Row],[Viewership.RecordDate22]])</f>
        <v>42387</v>
      </c>
      <c r="O324" s="2">
        <v>0.31736111111111109</v>
      </c>
      <c r="P324" t="s">
        <v>216</v>
      </c>
      <c r="Q324">
        <v>764396</v>
      </c>
      <c r="R324" t="s">
        <v>20</v>
      </c>
    </row>
    <row r="325" spans="1:18" x14ac:dyDescent="0.25">
      <c r="A325">
        <v>809011</v>
      </c>
      <c r="B325" t="s">
        <v>154</v>
      </c>
      <c r="C325" t="s">
        <v>73</v>
      </c>
      <c r="D325" t="s">
        <v>555</v>
      </c>
      <c r="E325" t="s">
        <v>38</v>
      </c>
      <c r="F325" t="s">
        <v>96</v>
      </c>
      <c r="G325">
        <v>48</v>
      </c>
      <c r="H325" t="s">
        <v>60</v>
      </c>
      <c r="I325" t="s">
        <v>157</v>
      </c>
      <c r="J325">
        <v>809011</v>
      </c>
      <c r="K325" t="s">
        <v>47</v>
      </c>
      <c r="L325" s="1">
        <v>42420.311111111114</v>
      </c>
      <c r="M325" s="1">
        <v>42420</v>
      </c>
      <c r="N325" s="3">
        <f>INT(BrightTV_JoinedTablesnw_2026_04_16_23_55_09[[#This Row],[Viewership.RecordDate22]])</f>
        <v>42420</v>
      </c>
      <c r="O325" s="2">
        <v>0.31111111111111112</v>
      </c>
      <c r="P325" t="s">
        <v>324</v>
      </c>
      <c r="Q325">
        <v>809011</v>
      </c>
      <c r="R325" t="s">
        <v>20</v>
      </c>
    </row>
    <row r="326" spans="1:18" x14ac:dyDescent="0.25">
      <c r="A326">
        <v>809011</v>
      </c>
      <c r="B326" t="s">
        <v>154</v>
      </c>
      <c r="C326" t="s">
        <v>73</v>
      </c>
      <c r="D326" t="s">
        <v>555</v>
      </c>
      <c r="E326" t="s">
        <v>38</v>
      </c>
      <c r="F326" t="s">
        <v>96</v>
      </c>
      <c r="G326">
        <v>48</v>
      </c>
      <c r="H326" t="s">
        <v>60</v>
      </c>
      <c r="I326" t="s">
        <v>157</v>
      </c>
      <c r="J326">
        <v>809011</v>
      </c>
      <c r="K326" t="s">
        <v>54</v>
      </c>
      <c r="L326" s="1">
        <v>42420.6875</v>
      </c>
      <c r="M326" s="1">
        <v>42420</v>
      </c>
      <c r="N326" s="3">
        <f>INT(BrightTV_JoinedTablesnw_2026_04_16_23_55_09[[#This Row],[Viewership.RecordDate22]])</f>
        <v>42420</v>
      </c>
      <c r="O326" s="2">
        <v>0.6875</v>
      </c>
      <c r="P326" t="s">
        <v>64</v>
      </c>
      <c r="Q326">
        <v>809011</v>
      </c>
      <c r="R326" t="s">
        <v>20</v>
      </c>
    </row>
    <row r="327" spans="1:18" x14ac:dyDescent="0.25">
      <c r="A327">
        <v>809011</v>
      </c>
      <c r="B327" t="s">
        <v>154</v>
      </c>
      <c r="C327" t="s">
        <v>73</v>
      </c>
      <c r="D327" t="s">
        <v>555</v>
      </c>
      <c r="E327" t="s">
        <v>38</v>
      </c>
      <c r="F327" t="s">
        <v>96</v>
      </c>
      <c r="G327">
        <v>48</v>
      </c>
      <c r="H327" t="s">
        <v>60</v>
      </c>
      <c r="I327" t="s">
        <v>157</v>
      </c>
      <c r="J327">
        <v>809011</v>
      </c>
      <c r="K327" t="s">
        <v>54</v>
      </c>
      <c r="L327" s="1">
        <v>42421.856944444444</v>
      </c>
      <c r="M327" s="1">
        <v>42421</v>
      </c>
      <c r="N327" s="3">
        <f>INT(BrightTV_JoinedTablesnw_2026_04_16_23_55_09[[#This Row],[Viewership.RecordDate22]])</f>
        <v>42421</v>
      </c>
      <c r="O327" s="2">
        <v>0.8569444444444444</v>
      </c>
      <c r="P327" t="s">
        <v>288</v>
      </c>
      <c r="Q327">
        <v>809011</v>
      </c>
      <c r="R327" t="s">
        <v>20</v>
      </c>
    </row>
    <row r="328" spans="1:18" x14ac:dyDescent="0.25">
      <c r="A328">
        <v>809011</v>
      </c>
      <c r="B328" t="s">
        <v>154</v>
      </c>
      <c r="C328" t="s">
        <v>73</v>
      </c>
      <c r="D328" t="s">
        <v>555</v>
      </c>
      <c r="E328" t="s">
        <v>38</v>
      </c>
      <c r="F328" t="s">
        <v>96</v>
      </c>
      <c r="G328">
        <v>48</v>
      </c>
      <c r="H328" t="s">
        <v>60</v>
      </c>
      <c r="I328" t="s">
        <v>157</v>
      </c>
      <c r="J328">
        <v>809011</v>
      </c>
      <c r="K328" t="s">
        <v>47</v>
      </c>
      <c r="L328" s="1">
        <v>42419.643750000003</v>
      </c>
      <c r="M328" s="1">
        <v>42419</v>
      </c>
      <c r="N328" s="3">
        <f>INT(BrightTV_JoinedTablesnw_2026_04_16_23_55_09[[#This Row],[Viewership.RecordDate22]])</f>
        <v>42419</v>
      </c>
      <c r="O328" s="2">
        <v>0.64375000000000004</v>
      </c>
      <c r="P328" t="s">
        <v>556</v>
      </c>
      <c r="Q328">
        <v>809011</v>
      </c>
      <c r="R328" t="s">
        <v>20</v>
      </c>
    </row>
    <row r="329" spans="1:18" x14ac:dyDescent="0.25">
      <c r="A329">
        <v>809011</v>
      </c>
      <c r="B329" t="s">
        <v>154</v>
      </c>
      <c r="C329" t="s">
        <v>73</v>
      </c>
      <c r="D329" t="s">
        <v>555</v>
      </c>
      <c r="E329" t="s">
        <v>38</v>
      </c>
      <c r="F329" t="s">
        <v>96</v>
      </c>
      <c r="G329">
        <v>48</v>
      </c>
      <c r="H329" t="s">
        <v>60</v>
      </c>
      <c r="I329" t="s">
        <v>157</v>
      </c>
      <c r="J329">
        <v>809011</v>
      </c>
      <c r="K329" t="s">
        <v>18</v>
      </c>
      <c r="L329" s="1">
        <v>42425.521527777775</v>
      </c>
      <c r="M329" s="1">
        <v>42425</v>
      </c>
      <c r="N329" s="3">
        <f>INT(BrightTV_JoinedTablesnw_2026_04_16_23_55_09[[#This Row],[Viewership.RecordDate22]])</f>
        <v>42425</v>
      </c>
      <c r="O329" s="2">
        <v>0.52152777777777781</v>
      </c>
      <c r="P329" t="s">
        <v>557</v>
      </c>
      <c r="Q329">
        <v>809011</v>
      </c>
      <c r="R329" t="s">
        <v>20</v>
      </c>
    </row>
    <row r="330" spans="1:18" x14ac:dyDescent="0.25">
      <c r="A330">
        <v>809011</v>
      </c>
      <c r="B330" t="s">
        <v>154</v>
      </c>
      <c r="C330" t="s">
        <v>73</v>
      </c>
      <c r="D330" t="s">
        <v>555</v>
      </c>
      <c r="E330" t="s">
        <v>38</v>
      </c>
      <c r="F330" t="s">
        <v>96</v>
      </c>
      <c r="G330">
        <v>48</v>
      </c>
      <c r="H330" t="s">
        <v>60</v>
      </c>
      <c r="I330" t="s">
        <v>157</v>
      </c>
      <c r="J330">
        <v>809011</v>
      </c>
      <c r="K330" t="s">
        <v>47</v>
      </c>
      <c r="L330" s="1">
        <v>42425.412499999999</v>
      </c>
      <c r="M330" s="1">
        <v>42425</v>
      </c>
      <c r="N330" s="3">
        <f>INT(BrightTV_JoinedTablesnw_2026_04_16_23_55_09[[#This Row],[Viewership.RecordDate22]])</f>
        <v>42425</v>
      </c>
      <c r="O330" s="2">
        <v>0.41249999999999998</v>
      </c>
      <c r="P330" t="s">
        <v>558</v>
      </c>
      <c r="Q330">
        <v>809011</v>
      </c>
      <c r="R330" t="s">
        <v>20</v>
      </c>
    </row>
    <row r="331" spans="1:18" x14ac:dyDescent="0.25">
      <c r="A331">
        <v>809011</v>
      </c>
      <c r="B331" t="s">
        <v>154</v>
      </c>
      <c r="C331" t="s">
        <v>73</v>
      </c>
      <c r="D331" t="s">
        <v>555</v>
      </c>
      <c r="E331" t="s">
        <v>38</v>
      </c>
      <c r="F331" t="s">
        <v>96</v>
      </c>
      <c r="G331">
        <v>48</v>
      </c>
      <c r="H331" t="s">
        <v>60</v>
      </c>
      <c r="I331" t="s">
        <v>157</v>
      </c>
      <c r="J331">
        <v>809011</v>
      </c>
      <c r="K331" t="s">
        <v>186</v>
      </c>
      <c r="L331" s="1">
        <v>42427.512499999997</v>
      </c>
      <c r="M331" s="1">
        <v>42427</v>
      </c>
      <c r="N331" s="3">
        <f>INT(BrightTV_JoinedTablesnw_2026_04_16_23_55_09[[#This Row],[Viewership.RecordDate22]])</f>
        <v>42427</v>
      </c>
      <c r="O331" s="2">
        <v>0.51249999999999996</v>
      </c>
      <c r="P331" t="s">
        <v>288</v>
      </c>
      <c r="Q331">
        <v>809011</v>
      </c>
      <c r="R331" t="s">
        <v>20</v>
      </c>
    </row>
    <row r="332" spans="1:18" x14ac:dyDescent="0.25">
      <c r="A332">
        <v>264705</v>
      </c>
      <c r="B332" t="s">
        <v>559</v>
      </c>
      <c r="C332" t="s">
        <v>560</v>
      </c>
      <c r="D332" t="s">
        <v>561</v>
      </c>
      <c r="E332" t="s">
        <v>24</v>
      </c>
      <c r="F332" t="s">
        <v>39</v>
      </c>
      <c r="G332">
        <v>37</v>
      </c>
      <c r="H332" t="s">
        <v>75</v>
      </c>
      <c r="I332" t="s">
        <v>562</v>
      </c>
      <c r="J332">
        <v>264705</v>
      </c>
      <c r="K332" t="s">
        <v>129</v>
      </c>
      <c r="L332" s="1">
        <v>42457.897222222222</v>
      </c>
      <c r="M332" s="1">
        <v>42457</v>
      </c>
      <c r="N332" s="3">
        <f>INT(BrightTV_JoinedTablesnw_2026_04_16_23_55_09[[#This Row],[Viewership.RecordDate22]])</f>
        <v>42457</v>
      </c>
      <c r="O332" s="2">
        <v>0.89722222222222225</v>
      </c>
      <c r="P332" t="s">
        <v>563</v>
      </c>
      <c r="Q332">
        <v>264705</v>
      </c>
      <c r="R332" t="s">
        <v>20</v>
      </c>
    </row>
    <row r="333" spans="1:18" x14ac:dyDescent="0.25">
      <c r="A333">
        <v>803575</v>
      </c>
      <c r="B333" t="s">
        <v>57</v>
      </c>
      <c r="C333" t="s">
        <v>155</v>
      </c>
      <c r="D333" t="s">
        <v>564</v>
      </c>
      <c r="E333" t="s">
        <v>38</v>
      </c>
      <c r="F333" t="s">
        <v>106</v>
      </c>
      <c r="G333">
        <v>27</v>
      </c>
      <c r="H333" t="s">
        <v>26</v>
      </c>
      <c r="I333" t="s">
        <v>61</v>
      </c>
      <c r="J333">
        <v>803575</v>
      </c>
      <c r="K333" t="s">
        <v>47</v>
      </c>
      <c r="L333" s="1">
        <v>42419.463888888888</v>
      </c>
      <c r="M333" s="1">
        <v>42419</v>
      </c>
      <c r="N333" s="3">
        <f>INT(BrightTV_JoinedTablesnw_2026_04_16_23_55_09[[#This Row],[Viewership.RecordDate22]])</f>
        <v>42419</v>
      </c>
      <c r="O333" s="2">
        <v>0.46388888888888891</v>
      </c>
      <c r="P333" t="s">
        <v>324</v>
      </c>
      <c r="Q333">
        <v>803575</v>
      </c>
      <c r="R333" t="s">
        <v>20</v>
      </c>
    </row>
    <row r="334" spans="1:18" x14ac:dyDescent="0.25">
      <c r="A334">
        <v>803575</v>
      </c>
      <c r="B334" t="s">
        <v>57</v>
      </c>
      <c r="C334" t="s">
        <v>155</v>
      </c>
      <c r="D334" t="s">
        <v>564</v>
      </c>
      <c r="E334" t="s">
        <v>38</v>
      </c>
      <c r="F334" t="s">
        <v>106</v>
      </c>
      <c r="G334">
        <v>27</v>
      </c>
      <c r="H334" t="s">
        <v>26</v>
      </c>
      <c r="I334" t="s">
        <v>61</v>
      </c>
      <c r="J334">
        <v>803575</v>
      </c>
      <c r="K334" t="s">
        <v>47</v>
      </c>
      <c r="L334" s="1">
        <v>42400.490277777775</v>
      </c>
      <c r="M334" s="1">
        <v>42400</v>
      </c>
      <c r="N334" s="3">
        <f>INT(BrightTV_JoinedTablesnw_2026_04_16_23_55_09[[#This Row],[Viewership.RecordDate22]])</f>
        <v>42400</v>
      </c>
      <c r="O334" s="2">
        <v>0.49027777777777776</v>
      </c>
      <c r="P334" t="s">
        <v>565</v>
      </c>
      <c r="Q334">
        <v>803575</v>
      </c>
      <c r="R334" t="s">
        <v>20</v>
      </c>
    </row>
    <row r="335" spans="1:18" x14ac:dyDescent="0.25">
      <c r="A335">
        <v>803575</v>
      </c>
      <c r="B335" t="s">
        <v>57</v>
      </c>
      <c r="C335" t="s">
        <v>155</v>
      </c>
      <c r="D335" t="s">
        <v>564</v>
      </c>
      <c r="E335" t="s">
        <v>38</v>
      </c>
      <c r="F335" t="s">
        <v>106</v>
      </c>
      <c r="G335">
        <v>27</v>
      </c>
      <c r="H335" t="s">
        <v>26</v>
      </c>
      <c r="I335" t="s">
        <v>61</v>
      </c>
      <c r="J335">
        <v>803575</v>
      </c>
      <c r="K335" t="s">
        <v>47</v>
      </c>
      <c r="L335" s="1">
        <v>42392.523611111108</v>
      </c>
      <c r="M335" s="1">
        <v>42392</v>
      </c>
      <c r="N335" s="3">
        <f>INT(BrightTV_JoinedTablesnw_2026_04_16_23_55_09[[#This Row],[Viewership.RecordDate22]])</f>
        <v>42392</v>
      </c>
      <c r="O335" s="2">
        <v>0.52361111111111114</v>
      </c>
      <c r="P335" t="s">
        <v>566</v>
      </c>
      <c r="Q335">
        <v>803575</v>
      </c>
      <c r="R335" t="s">
        <v>20</v>
      </c>
    </row>
    <row r="336" spans="1:18" x14ac:dyDescent="0.25">
      <c r="A336">
        <v>809015</v>
      </c>
      <c r="B336" t="s">
        <v>567</v>
      </c>
      <c r="C336" t="s">
        <v>136</v>
      </c>
      <c r="D336" t="s">
        <v>568</v>
      </c>
      <c r="E336" t="s">
        <v>24</v>
      </c>
      <c r="F336" t="s">
        <v>96</v>
      </c>
      <c r="G336">
        <v>31</v>
      </c>
      <c r="H336" t="s">
        <v>26</v>
      </c>
      <c r="I336" t="s">
        <v>569</v>
      </c>
      <c r="J336">
        <v>809015</v>
      </c>
      <c r="K336" t="s">
        <v>30</v>
      </c>
      <c r="L336" s="1">
        <v>42420.261111111111</v>
      </c>
      <c r="M336" s="1">
        <v>42420</v>
      </c>
      <c r="N336" s="3">
        <f>INT(BrightTV_JoinedTablesnw_2026_04_16_23_55_09[[#This Row],[Viewership.RecordDate22]])</f>
        <v>42420</v>
      </c>
      <c r="O336" s="2">
        <v>0.26111111111111113</v>
      </c>
      <c r="P336" t="s">
        <v>489</v>
      </c>
      <c r="Q336">
        <v>809015</v>
      </c>
      <c r="R336" t="s">
        <v>20</v>
      </c>
    </row>
    <row r="337" spans="1:18" x14ac:dyDescent="0.25">
      <c r="A337">
        <v>809015</v>
      </c>
      <c r="B337" t="s">
        <v>567</v>
      </c>
      <c r="C337" t="s">
        <v>136</v>
      </c>
      <c r="D337" t="s">
        <v>568</v>
      </c>
      <c r="E337" t="s">
        <v>24</v>
      </c>
      <c r="F337" t="s">
        <v>96</v>
      </c>
      <c r="G337">
        <v>31</v>
      </c>
      <c r="H337" t="s">
        <v>26</v>
      </c>
      <c r="I337" t="s">
        <v>569</v>
      </c>
      <c r="J337">
        <v>809015</v>
      </c>
      <c r="K337" t="s">
        <v>32</v>
      </c>
      <c r="L337" s="1">
        <v>42419.270833333336</v>
      </c>
      <c r="M337" s="1">
        <v>42419</v>
      </c>
      <c r="N337" s="3">
        <f>INT(BrightTV_JoinedTablesnw_2026_04_16_23_55_09[[#This Row],[Viewership.RecordDate22]])</f>
        <v>42419</v>
      </c>
      <c r="O337" s="2">
        <v>0.27083333333333331</v>
      </c>
      <c r="P337" t="s">
        <v>570</v>
      </c>
      <c r="Q337">
        <v>809015</v>
      </c>
      <c r="R337" t="s">
        <v>20</v>
      </c>
    </row>
    <row r="338" spans="1:18" x14ac:dyDescent="0.25">
      <c r="A338">
        <v>809015</v>
      </c>
      <c r="B338" t="s">
        <v>567</v>
      </c>
      <c r="C338" t="s">
        <v>136</v>
      </c>
      <c r="D338" t="s">
        <v>568</v>
      </c>
      <c r="E338" t="s">
        <v>24</v>
      </c>
      <c r="F338" t="s">
        <v>96</v>
      </c>
      <c r="G338">
        <v>31</v>
      </c>
      <c r="H338" t="s">
        <v>26</v>
      </c>
      <c r="I338" t="s">
        <v>569</v>
      </c>
      <c r="J338">
        <v>809015</v>
      </c>
      <c r="K338" t="s">
        <v>84</v>
      </c>
      <c r="L338" s="1">
        <v>42405.367361111108</v>
      </c>
      <c r="M338" s="1">
        <v>42405</v>
      </c>
      <c r="N338" s="3">
        <f>INT(BrightTV_JoinedTablesnw_2026_04_16_23_55_09[[#This Row],[Viewership.RecordDate22]])</f>
        <v>42405</v>
      </c>
      <c r="O338" s="2">
        <v>0.36736111111111114</v>
      </c>
      <c r="P338" t="s">
        <v>121</v>
      </c>
      <c r="Q338">
        <v>809015</v>
      </c>
      <c r="R338" t="s">
        <v>20</v>
      </c>
    </row>
    <row r="339" spans="1:18" x14ac:dyDescent="0.25">
      <c r="A339">
        <v>809015</v>
      </c>
      <c r="B339" t="s">
        <v>567</v>
      </c>
      <c r="C339" t="s">
        <v>136</v>
      </c>
      <c r="D339" t="s">
        <v>568</v>
      </c>
      <c r="E339" t="s">
        <v>24</v>
      </c>
      <c r="F339" t="s">
        <v>96</v>
      </c>
      <c r="G339">
        <v>31</v>
      </c>
      <c r="H339" t="s">
        <v>26</v>
      </c>
      <c r="I339" t="s">
        <v>569</v>
      </c>
      <c r="J339">
        <v>809015</v>
      </c>
      <c r="K339" t="s">
        <v>32</v>
      </c>
      <c r="L339" s="1">
        <v>42419.270833333336</v>
      </c>
      <c r="M339" s="1">
        <v>42419</v>
      </c>
      <c r="N339" s="3">
        <f>INT(BrightTV_JoinedTablesnw_2026_04_16_23_55_09[[#This Row],[Viewership.RecordDate22]])</f>
        <v>42419</v>
      </c>
      <c r="O339" s="2">
        <v>0.27083333333333331</v>
      </c>
      <c r="P339" t="s">
        <v>570</v>
      </c>
      <c r="Q339">
        <v>809015</v>
      </c>
      <c r="R339" t="s">
        <v>20</v>
      </c>
    </row>
    <row r="340" spans="1:18" x14ac:dyDescent="0.25">
      <c r="A340">
        <v>809015</v>
      </c>
      <c r="B340" t="s">
        <v>567</v>
      </c>
      <c r="C340" t="s">
        <v>136</v>
      </c>
      <c r="D340" t="s">
        <v>568</v>
      </c>
      <c r="E340" t="s">
        <v>24</v>
      </c>
      <c r="F340" t="s">
        <v>96</v>
      </c>
      <c r="G340">
        <v>31</v>
      </c>
      <c r="H340" t="s">
        <v>26</v>
      </c>
      <c r="I340" t="s">
        <v>569</v>
      </c>
      <c r="J340">
        <v>809015</v>
      </c>
      <c r="K340" t="s">
        <v>32</v>
      </c>
      <c r="L340" s="1">
        <v>42424.442361111112</v>
      </c>
      <c r="M340" s="1">
        <v>42424</v>
      </c>
      <c r="N340" s="3">
        <f>INT(BrightTV_JoinedTablesnw_2026_04_16_23_55_09[[#This Row],[Viewership.RecordDate22]])</f>
        <v>42424</v>
      </c>
      <c r="O340" s="2">
        <v>0.44236111111111109</v>
      </c>
      <c r="P340" t="s">
        <v>286</v>
      </c>
      <c r="Q340">
        <v>809015</v>
      </c>
      <c r="R340" t="s">
        <v>20</v>
      </c>
    </row>
    <row r="341" spans="1:18" x14ac:dyDescent="0.25">
      <c r="A341">
        <v>809015</v>
      </c>
      <c r="B341" t="s">
        <v>567</v>
      </c>
      <c r="C341" t="s">
        <v>136</v>
      </c>
      <c r="D341" t="s">
        <v>568</v>
      </c>
      <c r="E341" t="s">
        <v>24</v>
      </c>
      <c r="F341" t="s">
        <v>96</v>
      </c>
      <c r="G341">
        <v>31</v>
      </c>
      <c r="H341" t="s">
        <v>26</v>
      </c>
      <c r="I341" t="s">
        <v>569</v>
      </c>
      <c r="J341">
        <v>809015</v>
      </c>
      <c r="K341" t="s">
        <v>84</v>
      </c>
      <c r="L341" s="1">
        <v>42399.787499999999</v>
      </c>
      <c r="M341" s="1">
        <v>42399</v>
      </c>
      <c r="N341" s="3">
        <f>INT(BrightTV_JoinedTablesnw_2026_04_16_23_55_09[[#This Row],[Viewership.RecordDate22]])</f>
        <v>42399</v>
      </c>
      <c r="O341" s="2">
        <v>0.78749999999999998</v>
      </c>
      <c r="P341" t="s">
        <v>145</v>
      </c>
      <c r="Q341">
        <v>809015</v>
      </c>
      <c r="R341" t="s">
        <v>20</v>
      </c>
    </row>
    <row r="342" spans="1:18" x14ac:dyDescent="0.25">
      <c r="A342">
        <v>809015</v>
      </c>
      <c r="B342" t="s">
        <v>567</v>
      </c>
      <c r="C342" t="s">
        <v>136</v>
      </c>
      <c r="D342" t="s">
        <v>568</v>
      </c>
      <c r="E342" t="s">
        <v>24</v>
      </c>
      <c r="F342" t="s">
        <v>96</v>
      </c>
      <c r="G342">
        <v>31</v>
      </c>
      <c r="H342" t="s">
        <v>26</v>
      </c>
      <c r="I342" t="s">
        <v>569</v>
      </c>
      <c r="J342">
        <v>809015</v>
      </c>
      <c r="K342" t="s">
        <v>84</v>
      </c>
      <c r="L342" s="1">
        <v>42398.908333333333</v>
      </c>
      <c r="M342" s="1">
        <v>42398</v>
      </c>
      <c r="N342" s="3">
        <f>INT(BrightTV_JoinedTablesnw_2026_04_16_23_55_09[[#This Row],[Viewership.RecordDate22]])</f>
        <v>42398</v>
      </c>
      <c r="O342" s="2">
        <v>0.90833333333333333</v>
      </c>
      <c r="P342" t="s">
        <v>144</v>
      </c>
      <c r="Q342">
        <v>809015</v>
      </c>
      <c r="R342" t="s">
        <v>20</v>
      </c>
    </row>
    <row r="343" spans="1:18" x14ac:dyDescent="0.25">
      <c r="A343">
        <v>809015</v>
      </c>
      <c r="B343" t="s">
        <v>567</v>
      </c>
      <c r="C343" t="s">
        <v>136</v>
      </c>
      <c r="D343" t="s">
        <v>568</v>
      </c>
      <c r="E343" t="s">
        <v>24</v>
      </c>
      <c r="F343" t="s">
        <v>96</v>
      </c>
      <c r="G343">
        <v>31</v>
      </c>
      <c r="H343" t="s">
        <v>26</v>
      </c>
      <c r="I343" t="s">
        <v>569</v>
      </c>
      <c r="J343">
        <v>809015</v>
      </c>
      <c r="K343" t="s">
        <v>54</v>
      </c>
      <c r="L343" s="1">
        <v>42397.768055555556</v>
      </c>
      <c r="M343" s="1">
        <v>42397</v>
      </c>
      <c r="N343" s="3">
        <f>INT(BrightTV_JoinedTablesnw_2026_04_16_23_55_09[[#This Row],[Viewership.RecordDate22]])</f>
        <v>42397</v>
      </c>
      <c r="O343" s="2">
        <v>0.7680555555555556</v>
      </c>
      <c r="P343" t="s">
        <v>571</v>
      </c>
      <c r="Q343">
        <v>809015</v>
      </c>
      <c r="R343" t="s">
        <v>20</v>
      </c>
    </row>
    <row r="344" spans="1:18" x14ac:dyDescent="0.25">
      <c r="A344">
        <v>809015</v>
      </c>
      <c r="B344" t="s">
        <v>567</v>
      </c>
      <c r="C344" t="s">
        <v>136</v>
      </c>
      <c r="D344" t="s">
        <v>568</v>
      </c>
      <c r="E344" t="s">
        <v>24</v>
      </c>
      <c r="F344" t="s">
        <v>96</v>
      </c>
      <c r="G344">
        <v>31</v>
      </c>
      <c r="H344" t="s">
        <v>26</v>
      </c>
      <c r="I344" t="s">
        <v>569</v>
      </c>
      <c r="J344">
        <v>809015</v>
      </c>
      <c r="K344" t="s">
        <v>32</v>
      </c>
      <c r="L344" s="1">
        <v>42406.56527777778</v>
      </c>
      <c r="M344" s="1">
        <v>42406</v>
      </c>
      <c r="N344" s="3">
        <f>INT(BrightTV_JoinedTablesnw_2026_04_16_23_55_09[[#This Row],[Viewership.RecordDate22]])</f>
        <v>42406</v>
      </c>
      <c r="O344" s="2">
        <v>0.56527777777777777</v>
      </c>
      <c r="P344" t="s">
        <v>121</v>
      </c>
      <c r="Q344">
        <v>809015</v>
      </c>
      <c r="R344" t="s">
        <v>20</v>
      </c>
    </row>
    <row r="345" spans="1:18" x14ac:dyDescent="0.25">
      <c r="A345">
        <v>809015</v>
      </c>
      <c r="B345" t="s">
        <v>567</v>
      </c>
      <c r="C345" t="s">
        <v>136</v>
      </c>
      <c r="D345" t="s">
        <v>568</v>
      </c>
      <c r="E345" t="s">
        <v>24</v>
      </c>
      <c r="F345" t="s">
        <v>96</v>
      </c>
      <c r="G345">
        <v>31</v>
      </c>
      <c r="H345" t="s">
        <v>26</v>
      </c>
      <c r="I345" t="s">
        <v>569</v>
      </c>
      <c r="J345">
        <v>809015</v>
      </c>
      <c r="K345" t="s">
        <v>84</v>
      </c>
      <c r="L345" s="1">
        <v>42423.788194444445</v>
      </c>
      <c r="M345" s="1">
        <v>42423</v>
      </c>
      <c r="N345" s="3">
        <f>INT(BrightTV_JoinedTablesnw_2026_04_16_23_55_09[[#This Row],[Viewership.RecordDate22]])</f>
        <v>42423</v>
      </c>
      <c r="O345" s="2">
        <v>0.78819444444444442</v>
      </c>
      <c r="P345" t="s">
        <v>572</v>
      </c>
      <c r="Q345">
        <v>809015</v>
      </c>
      <c r="R345" t="s">
        <v>20</v>
      </c>
    </row>
    <row r="346" spans="1:18" x14ac:dyDescent="0.25">
      <c r="A346">
        <v>304977</v>
      </c>
      <c r="B346" t="s">
        <v>573</v>
      </c>
      <c r="C346" t="s">
        <v>148</v>
      </c>
      <c r="D346" t="s">
        <v>574</v>
      </c>
      <c r="E346" t="s">
        <v>24</v>
      </c>
      <c r="F346" t="s">
        <v>39</v>
      </c>
      <c r="G346">
        <v>45</v>
      </c>
      <c r="H346" t="s">
        <v>252</v>
      </c>
      <c r="I346" t="s">
        <v>575</v>
      </c>
      <c r="J346">
        <v>304977</v>
      </c>
      <c r="K346" t="s">
        <v>77</v>
      </c>
      <c r="L346" s="1">
        <v>42375.236805555556</v>
      </c>
      <c r="M346" s="1">
        <v>42375</v>
      </c>
      <c r="N346" s="3">
        <f>INT(BrightTV_JoinedTablesnw_2026_04_16_23_55_09[[#This Row],[Viewership.RecordDate22]])</f>
        <v>42375</v>
      </c>
      <c r="O346" s="2">
        <v>0.23680555555555555</v>
      </c>
      <c r="P346" t="s">
        <v>288</v>
      </c>
      <c r="Q346">
        <v>304977</v>
      </c>
      <c r="R346" t="s">
        <v>20</v>
      </c>
    </row>
    <row r="347" spans="1:18" x14ac:dyDescent="0.25">
      <c r="A347">
        <v>325546</v>
      </c>
      <c r="B347" t="s">
        <v>576</v>
      </c>
      <c r="C347" t="s">
        <v>238</v>
      </c>
      <c r="D347" t="s">
        <v>577</v>
      </c>
      <c r="E347" t="s">
        <v>38</v>
      </c>
      <c r="F347" t="s">
        <v>39</v>
      </c>
      <c r="G347">
        <v>26</v>
      </c>
      <c r="H347" t="s">
        <v>75</v>
      </c>
      <c r="I347" t="s">
        <v>578</v>
      </c>
      <c r="J347">
        <v>325546</v>
      </c>
      <c r="K347" t="s">
        <v>129</v>
      </c>
      <c r="L347" s="1">
        <v>42382.890277777777</v>
      </c>
      <c r="M347" s="1">
        <v>42382</v>
      </c>
      <c r="N347" s="3">
        <f>INT(BrightTV_JoinedTablesnw_2026_04_16_23_55_09[[#This Row],[Viewership.RecordDate22]])</f>
        <v>42382</v>
      </c>
      <c r="O347" s="2">
        <v>0.89027777777777772</v>
      </c>
      <c r="P347" t="s">
        <v>579</v>
      </c>
      <c r="Q347">
        <v>325546</v>
      </c>
      <c r="R347" t="s">
        <v>20</v>
      </c>
    </row>
    <row r="348" spans="1:18" x14ac:dyDescent="0.25">
      <c r="A348">
        <v>325546</v>
      </c>
      <c r="B348" t="s">
        <v>576</v>
      </c>
      <c r="C348" t="s">
        <v>238</v>
      </c>
      <c r="D348" t="s">
        <v>577</v>
      </c>
      <c r="E348" t="s">
        <v>38</v>
      </c>
      <c r="F348" t="s">
        <v>39</v>
      </c>
      <c r="G348">
        <v>26</v>
      </c>
      <c r="H348" t="s">
        <v>75</v>
      </c>
      <c r="I348" t="s">
        <v>578</v>
      </c>
      <c r="J348">
        <v>325546</v>
      </c>
      <c r="K348" t="s">
        <v>28</v>
      </c>
      <c r="L348" s="1">
        <v>42375.918749999997</v>
      </c>
      <c r="M348" s="1">
        <v>42375</v>
      </c>
      <c r="N348" s="3">
        <f>INT(BrightTV_JoinedTablesnw_2026_04_16_23_55_09[[#This Row],[Viewership.RecordDate22]])</f>
        <v>42375</v>
      </c>
      <c r="O348" s="2">
        <v>0.91874999999999996</v>
      </c>
      <c r="P348" t="s">
        <v>572</v>
      </c>
      <c r="Q348">
        <v>325546</v>
      </c>
      <c r="R348" t="s">
        <v>20</v>
      </c>
    </row>
    <row r="349" spans="1:18" x14ac:dyDescent="0.25">
      <c r="A349">
        <v>366496</v>
      </c>
      <c r="B349" t="s">
        <v>580</v>
      </c>
      <c r="C349" t="s">
        <v>202</v>
      </c>
      <c r="D349" t="s">
        <v>581</v>
      </c>
      <c r="E349" t="s">
        <v>24</v>
      </c>
      <c r="F349" t="s">
        <v>39</v>
      </c>
      <c r="G349">
        <v>18</v>
      </c>
      <c r="H349" t="s">
        <v>40</v>
      </c>
      <c r="I349" t="s">
        <v>582</v>
      </c>
      <c r="J349">
        <v>366496</v>
      </c>
      <c r="K349" t="s">
        <v>77</v>
      </c>
      <c r="L349" s="1">
        <v>42371.71597222222</v>
      </c>
      <c r="M349" s="1">
        <v>42371</v>
      </c>
      <c r="N349" s="3">
        <f>INT(BrightTV_JoinedTablesnw_2026_04_16_23_55_09[[#This Row],[Viewership.RecordDate22]])</f>
        <v>42371</v>
      </c>
      <c r="O349" s="2">
        <v>0.71597222222222223</v>
      </c>
      <c r="P349" t="s">
        <v>583</v>
      </c>
      <c r="Q349">
        <v>366496</v>
      </c>
      <c r="R349" t="s">
        <v>20</v>
      </c>
    </row>
    <row r="350" spans="1:18" x14ac:dyDescent="0.25">
      <c r="A350">
        <v>788725</v>
      </c>
      <c r="B350" t="s">
        <v>158</v>
      </c>
      <c r="C350" t="s">
        <v>22</v>
      </c>
      <c r="D350" t="s">
        <v>584</v>
      </c>
      <c r="E350" t="s">
        <v>38</v>
      </c>
      <c r="F350" t="s">
        <v>39</v>
      </c>
      <c r="G350">
        <v>32</v>
      </c>
      <c r="H350" t="s">
        <v>252</v>
      </c>
      <c r="I350" t="s">
        <v>160</v>
      </c>
      <c r="J350">
        <v>788725</v>
      </c>
      <c r="K350" t="s">
        <v>32</v>
      </c>
      <c r="L350" s="1">
        <v>42415.803472222222</v>
      </c>
      <c r="M350" s="1">
        <v>42415</v>
      </c>
      <c r="N350" s="3">
        <f>INT(BrightTV_JoinedTablesnw_2026_04_16_23_55_09[[#This Row],[Viewership.RecordDate22]])</f>
        <v>42415</v>
      </c>
      <c r="O350" s="2">
        <v>0.80347222222222225</v>
      </c>
      <c r="P350" t="s">
        <v>175</v>
      </c>
      <c r="Q350">
        <v>788725</v>
      </c>
      <c r="R350" t="s">
        <v>20</v>
      </c>
    </row>
    <row r="351" spans="1:18" x14ac:dyDescent="0.25">
      <c r="A351">
        <v>788725</v>
      </c>
      <c r="B351" t="s">
        <v>158</v>
      </c>
      <c r="C351" t="s">
        <v>22</v>
      </c>
      <c r="D351" t="s">
        <v>584</v>
      </c>
      <c r="E351" t="s">
        <v>38</v>
      </c>
      <c r="F351" t="s">
        <v>39</v>
      </c>
      <c r="G351">
        <v>32</v>
      </c>
      <c r="H351" t="s">
        <v>252</v>
      </c>
      <c r="I351" t="s">
        <v>160</v>
      </c>
      <c r="J351">
        <v>788725</v>
      </c>
      <c r="K351" t="s">
        <v>129</v>
      </c>
      <c r="L351" s="1">
        <v>42419.90347222222</v>
      </c>
      <c r="M351" s="1">
        <v>42419</v>
      </c>
      <c r="N351" s="3">
        <f>INT(BrightTV_JoinedTablesnw_2026_04_16_23_55_09[[#This Row],[Viewership.RecordDate22]])</f>
        <v>42419</v>
      </c>
      <c r="O351" s="2">
        <v>0.90347222222222223</v>
      </c>
      <c r="P351" t="s">
        <v>537</v>
      </c>
      <c r="Q351">
        <v>788725</v>
      </c>
      <c r="R351" t="s">
        <v>20</v>
      </c>
    </row>
    <row r="352" spans="1:18" x14ac:dyDescent="0.25">
      <c r="A352">
        <v>788725</v>
      </c>
      <c r="B352" t="s">
        <v>158</v>
      </c>
      <c r="C352" t="s">
        <v>22</v>
      </c>
      <c r="D352" t="s">
        <v>584</v>
      </c>
      <c r="E352" t="s">
        <v>38</v>
      </c>
      <c r="F352" t="s">
        <v>39</v>
      </c>
      <c r="G352">
        <v>32</v>
      </c>
      <c r="H352" t="s">
        <v>252</v>
      </c>
      <c r="I352" t="s">
        <v>160</v>
      </c>
      <c r="J352">
        <v>788725</v>
      </c>
      <c r="K352" t="s">
        <v>77</v>
      </c>
      <c r="L352" s="1">
        <v>42412.651388888888</v>
      </c>
      <c r="M352" s="1">
        <v>42412</v>
      </c>
      <c r="N352" s="3">
        <f>INT(BrightTV_JoinedTablesnw_2026_04_16_23_55_09[[#This Row],[Viewership.RecordDate22]])</f>
        <v>42412</v>
      </c>
      <c r="O352" s="2">
        <v>0.65138888888888891</v>
      </c>
      <c r="P352" t="s">
        <v>64</v>
      </c>
      <c r="Q352">
        <v>788725</v>
      </c>
      <c r="R352" t="s">
        <v>20</v>
      </c>
    </row>
    <row r="353" spans="1:18" x14ac:dyDescent="0.25">
      <c r="A353">
        <v>370637</v>
      </c>
      <c r="B353" t="s">
        <v>237</v>
      </c>
      <c r="C353" t="s">
        <v>116</v>
      </c>
      <c r="D353" t="s">
        <v>585</v>
      </c>
      <c r="E353" t="s">
        <v>38</v>
      </c>
      <c r="F353" t="s">
        <v>96</v>
      </c>
      <c r="G353">
        <v>34</v>
      </c>
      <c r="H353" t="s">
        <v>60</v>
      </c>
      <c r="I353" t="s">
        <v>240</v>
      </c>
      <c r="J353">
        <v>370637</v>
      </c>
      <c r="K353" t="s">
        <v>47</v>
      </c>
      <c r="L353" s="1">
        <v>42387.665277777778</v>
      </c>
      <c r="M353" s="1">
        <v>42387</v>
      </c>
      <c r="N353" s="3">
        <f>INT(BrightTV_JoinedTablesnw_2026_04_16_23_55_09[[#This Row],[Viewership.RecordDate22]])</f>
        <v>42387</v>
      </c>
      <c r="O353" s="2">
        <v>0.66527777777777775</v>
      </c>
      <c r="P353" t="s">
        <v>586</v>
      </c>
      <c r="Q353">
        <v>370637</v>
      </c>
      <c r="R353" t="s">
        <v>20</v>
      </c>
    </row>
    <row r="354" spans="1:18" x14ac:dyDescent="0.25">
      <c r="A354">
        <v>371772</v>
      </c>
      <c r="B354" t="s">
        <v>587</v>
      </c>
      <c r="C354" t="s">
        <v>36</v>
      </c>
      <c r="D354" t="s">
        <v>588</v>
      </c>
      <c r="E354" t="s">
        <v>24</v>
      </c>
      <c r="F354" t="s">
        <v>106</v>
      </c>
      <c r="G354">
        <v>9</v>
      </c>
      <c r="H354" t="s">
        <v>26</v>
      </c>
      <c r="I354" t="s">
        <v>589</v>
      </c>
      <c r="J354">
        <v>371772</v>
      </c>
      <c r="K354" t="s">
        <v>30</v>
      </c>
      <c r="L354" s="1">
        <v>42371.615972222222</v>
      </c>
      <c r="M354" s="1">
        <v>42371</v>
      </c>
      <c r="N354" s="3">
        <f>INT(BrightTV_JoinedTablesnw_2026_04_16_23_55_09[[#This Row],[Viewership.RecordDate22]])</f>
        <v>42371</v>
      </c>
      <c r="O354" s="2">
        <v>0.61597222222222225</v>
      </c>
      <c r="P354" t="s">
        <v>590</v>
      </c>
      <c r="Q354">
        <v>371772</v>
      </c>
      <c r="R354" t="s">
        <v>20</v>
      </c>
    </row>
    <row r="355" spans="1:18" x14ac:dyDescent="0.25">
      <c r="A355">
        <v>371772</v>
      </c>
      <c r="B355" t="s">
        <v>587</v>
      </c>
      <c r="C355" t="s">
        <v>36</v>
      </c>
      <c r="D355" t="s">
        <v>588</v>
      </c>
      <c r="E355" t="s">
        <v>24</v>
      </c>
      <c r="F355" t="s">
        <v>106</v>
      </c>
      <c r="G355">
        <v>9</v>
      </c>
      <c r="H355" t="s">
        <v>26</v>
      </c>
      <c r="I355" t="s">
        <v>589</v>
      </c>
      <c r="J355">
        <v>371772</v>
      </c>
      <c r="K355" t="s">
        <v>32</v>
      </c>
      <c r="L355" s="1">
        <v>42378.734722222223</v>
      </c>
      <c r="M355" s="1">
        <v>42378</v>
      </c>
      <c r="N355" s="3">
        <f>INT(BrightTV_JoinedTablesnw_2026_04_16_23_55_09[[#This Row],[Viewership.RecordDate22]])</f>
        <v>42378</v>
      </c>
      <c r="O355" s="2">
        <v>0.73472222222222228</v>
      </c>
      <c r="P355" t="s">
        <v>64</v>
      </c>
      <c r="Q355">
        <v>371772</v>
      </c>
      <c r="R355" t="s">
        <v>20</v>
      </c>
    </row>
    <row r="356" spans="1:18" x14ac:dyDescent="0.25">
      <c r="A356">
        <v>809018</v>
      </c>
      <c r="B356" t="s">
        <v>249</v>
      </c>
      <c r="C356" t="s">
        <v>123</v>
      </c>
      <c r="D356" t="s">
        <v>591</v>
      </c>
      <c r="E356" t="s">
        <v>38</v>
      </c>
      <c r="F356" t="s">
        <v>39</v>
      </c>
      <c r="G356">
        <v>31</v>
      </c>
      <c r="H356" t="s">
        <v>52</v>
      </c>
      <c r="I356" t="s">
        <v>253</v>
      </c>
      <c r="J356">
        <v>809018</v>
      </c>
      <c r="K356" t="s">
        <v>84</v>
      </c>
      <c r="L356" s="1">
        <v>42418.002083333333</v>
      </c>
      <c r="M356" s="1">
        <v>42418</v>
      </c>
      <c r="N356" s="3">
        <f>INT(BrightTV_JoinedTablesnw_2026_04_16_23_55_09[[#This Row],[Viewership.RecordDate22]])</f>
        <v>42418</v>
      </c>
      <c r="O356" s="2">
        <v>2.0833333333333333E-3</v>
      </c>
      <c r="P356" t="s">
        <v>592</v>
      </c>
      <c r="Q356">
        <v>809018</v>
      </c>
      <c r="R356" t="s">
        <v>20</v>
      </c>
    </row>
    <row r="357" spans="1:18" x14ac:dyDescent="0.25">
      <c r="A357">
        <v>788727</v>
      </c>
      <c r="B357" t="s">
        <v>219</v>
      </c>
      <c r="C357" t="s">
        <v>593</v>
      </c>
      <c r="D357" t="s">
        <v>594</v>
      </c>
      <c r="E357" t="s">
        <v>38</v>
      </c>
      <c r="F357" t="s">
        <v>96</v>
      </c>
      <c r="G357">
        <v>41</v>
      </c>
      <c r="H357" t="s">
        <v>60</v>
      </c>
      <c r="I357" t="s">
        <v>221</v>
      </c>
      <c r="J357">
        <v>788727</v>
      </c>
      <c r="K357" t="s">
        <v>54</v>
      </c>
      <c r="L357" s="1">
        <v>42374.896527777775</v>
      </c>
      <c r="M357" s="1">
        <v>42374</v>
      </c>
      <c r="N357" s="3">
        <f>INT(BrightTV_JoinedTablesnw_2026_04_16_23_55_09[[#This Row],[Viewership.RecordDate22]])</f>
        <v>42374</v>
      </c>
      <c r="O357" s="2">
        <v>0.89652777777777781</v>
      </c>
      <c r="P357" t="s">
        <v>595</v>
      </c>
      <c r="Q357">
        <v>788727</v>
      </c>
      <c r="R357" t="s">
        <v>20</v>
      </c>
    </row>
    <row r="358" spans="1:18" x14ac:dyDescent="0.25">
      <c r="A358">
        <v>788727</v>
      </c>
      <c r="B358" t="s">
        <v>219</v>
      </c>
      <c r="C358" t="s">
        <v>593</v>
      </c>
      <c r="D358" t="s">
        <v>594</v>
      </c>
      <c r="E358" t="s">
        <v>38</v>
      </c>
      <c r="F358" t="s">
        <v>96</v>
      </c>
      <c r="G358">
        <v>41</v>
      </c>
      <c r="H358" t="s">
        <v>60</v>
      </c>
      <c r="I358" t="s">
        <v>221</v>
      </c>
      <c r="J358">
        <v>788727</v>
      </c>
      <c r="K358" t="s">
        <v>84</v>
      </c>
      <c r="L358" s="1">
        <v>42379.82708333333</v>
      </c>
      <c r="M358" s="1">
        <v>42379</v>
      </c>
      <c r="N358" s="3">
        <f>INT(BrightTV_JoinedTablesnw_2026_04_16_23_55_09[[#This Row],[Viewership.RecordDate22]])</f>
        <v>42379</v>
      </c>
      <c r="O358" s="2">
        <v>0.82708333333333328</v>
      </c>
      <c r="P358" t="s">
        <v>596</v>
      </c>
      <c r="Q358">
        <v>788727</v>
      </c>
      <c r="R358" t="s">
        <v>20</v>
      </c>
    </row>
    <row r="359" spans="1:18" x14ac:dyDescent="0.25">
      <c r="A359">
        <v>788727</v>
      </c>
      <c r="B359" t="s">
        <v>219</v>
      </c>
      <c r="C359" t="s">
        <v>593</v>
      </c>
      <c r="D359" t="s">
        <v>594</v>
      </c>
      <c r="E359" t="s">
        <v>38</v>
      </c>
      <c r="F359" t="s">
        <v>96</v>
      </c>
      <c r="G359">
        <v>41</v>
      </c>
      <c r="H359" t="s">
        <v>60</v>
      </c>
      <c r="I359" t="s">
        <v>221</v>
      </c>
      <c r="J359">
        <v>788727</v>
      </c>
      <c r="K359" t="s">
        <v>47</v>
      </c>
      <c r="L359" s="1">
        <v>42383.502083333333</v>
      </c>
      <c r="M359" s="1">
        <v>42383</v>
      </c>
      <c r="N359" s="3">
        <f>INT(BrightTV_JoinedTablesnw_2026_04_16_23_55_09[[#This Row],[Viewership.RecordDate22]])</f>
        <v>42383</v>
      </c>
      <c r="O359" s="2">
        <v>0.50208333333333333</v>
      </c>
      <c r="P359" t="s">
        <v>431</v>
      </c>
      <c r="Q359">
        <v>788727</v>
      </c>
      <c r="R359" t="s">
        <v>20</v>
      </c>
    </row>
    <row r="360" spans="1:18" x14ac:dyDescent="0.25">
      <c r="A360">
        <v>788727</v>
      </c>
      <c r="B360" t="s">
        <v>219</v>
      </c>
      <c r="C360" t="s">
        <v>593</v>
      </c>
      <c r="D360" t="s">
        <v>594</v>
      </c>
      <c r="E360" t="s">
        <v>38</v>
      </c>
      <c r="F360" t="s">
        <v>96</v>
      </c>
      <c r="G360">
        <v>41</v>
      </c>
      <c r="H360" t="s">
        <v>60</v>
      </c>
      <c r="I360" t="s">
        <v>221</v>
      </c>
      <c r="J360">
        <v>788727</v>
      </c>
      <c r="K360" t="s">
        <v>47</v>
      </c>
      <c r="L360" s="1">
        <v>42392.504861111112</v>
      </c>
      <c r="M360" s="1">
        <v>42392</v>
      </c>
      <c r="N360" s="3">
        <f>INT(BrightTV_JoinedTablesnw_2026_04_16_23_55_09[[#This Row],[Viewership.RecordDate22]])</f>
        <v>42392</v>
      </c>
      <c r="O360" s="2">
        <v>0.50486111111111109</v>
      </c>
      <c r="P360" t="s">
        <v>64</v>
      </c>
      <c r="Q360">
        <v>788727</v>
      </c>
      <c r="R360" t="s">
        <v>20</v>
      </c>
    </row>
    <row r="361" spans="1:18" x14ac:dyDescent="0.25">
      <c r="A361">
        <v>390361</v>
      </c>
      <c r="B361" t="s">
        <v>567</v>
      </c>
      <c r="C361" t="s">
        <v>136</v>
      </c>
      <c r="D361" t="s">
        <v>597</v>
      </c>
      <c r="E361" t="s">
        <v>24</v>
      </c>
      <c r="F361" t="s">
        <v>96</v>
      </c>
      <c r="G361">
        <v>24</v>
      </c>
      <c r="H361" t="s">
        <v>40</v>
      </c>
      <c r="I361" t="s">
        <v>598</v>
      </c>
      <c r="J361">
        <v>390361</v>
      </c>
      <c r="K361" t="s">
        <v>32</v>
      </c>
      <c r="L361" s="1">
        <v>42418.10833333333</v>
      </c>
      <c r="M361" s="1">
        <v>42418</v>
      </c>
      <c r="N361" s="3">
        <f>INT(BrightTV_JoinedTablesnw_2026_04_16_23_55_09[[#This Row],[Viewership.RecordDate22]])</f>
        <v>42418</v>
      </c>
      <c r="O361" s="2">
        <v>0.10833333333333334</v>
      </c>
      <c r="P361" t="s">
        <v>200</v>
      </c>
      <c r="Q361">
        <v>390361</v>
      </c>
      <c r="R361" t="s">
        <v>20</v>
      </c>
    </row>
    <row r="362" spans="1:18" x14ac:dyDescent="0.25">
      <c r="A362">
        <v>771888</v>
      </c>
      <c r="B362" t="s">
        <v>57</v>
      </c>
      <c r="C362" t="s">
        <v>260</v>
      </c>
      <c r="D362" t="s">
        <v>490</v>
      </c>
      <c r="E362" t="s">
        <v>38</v>
      </c>
      <c r="F362" t="s">
        <v>96</v>
      </c>
      <c r="G362">
        <v>41</v>
      </c>
      <c r="H362" t="s">
        <v>26</v>
      </c>
      <c r="I362" t="s">
        <v>61</v>
      </c>
      <c r="J362">
        <v>771888</v>
      </c>
      <c r="K362" t="s">
        <v>32</v>
      </c>
      <c r="L362" s="1">
        <v>42425.757638888892</v>
      </c>
      <c r="M362" s="1">
        <v>42425</v>
      </c>
      <c r="N362" s="3">
        <f>INT(BrightTV_JoinedTablesnw_2026_04_16_23_55_09[[#This Row],[Viewership.RecordDate22]])</f>
        <v>42425</v>
      </c>
      <c r="O362" s="2">
        <v>0.75763888888888886</v>
      </c>
      <c r="P362" t="s">
        <v>599</v>
      </c>
      <c r="Q362">
        <v>771888</v>
      </c>
      <c r="R362" t="s">
        <v>20</v>
      </c>
    </row>
    <row r="363" spans="1:18" x14ac:dyDescent="0.25">
      <c r="A363">
        <v>788728</v>
      </c>
      <c r="B363" t="s">
        <v>600</v>
      </c>
      <c r="C363" t="s">
        <v>44</v>
      </c>
      <c r="D363" t="s">
        <v>601</v>
      </c>
      <c r="E363" t="s">
        <v>38</v>
      </c>
      <c r="F363" t="s">
        <v>39</v>
      </c>
      <c r="G363">
        <v>35</v>
      </c>
      <c r="H363" t="s">
        <v>40</v>
      </c>
      <c r="I363" t="s">
        <v>602</v>
      </c>
      <c r="J363">
        <v>788728</v>
      </c>
      <c r="K363" t="s">
        <v>18</v>
      </c>
      <c r="L363" s="1">
        <v>42444.456944444442</v>
      </c>
      <c r="M363" s="1">
        <v>42444</v>
      </c>
      <c r="N363" s="3">
        <f>INT(BrightTV_JoinedTablesnw_2026_04_16_23_55_09[[#This Row],[Viewership.RecordDate22]])</f>
        <v>42444</v>
      </c>
      <c r="O363" s="2">
        <v>0.45694444444444443</v>
      </c>
      <c r="P363" t="s">
        <v>216</v>
      </c>
      <c r="Q363">
        <v>788728</v>
      </c>
      <c r="R363" t="s">
        <v>20</v>
      </c>
    </row>
    <row r="364" spans="1:18" x14ac:dyDescent="0.25">
      <c r="A364">
        <v>411036</v>
      </c>
      <c r="B364" t="s">
        <v>603</v>
      </c>
      <c r="C364" t="s">
        <v>271</v>
      </c>
      <c r="D364" t="s">
        <v>604</v>
      </c>
      <c r="E364" t="s">
        <v>24</v>
      </c>
      <c r="F364" t="s">
        <v>25</v>
      </c>
      <c r="G364">
        <v>27</v>
      </c>
      <c r="H364" t="s">
        <v>60</v>
      </c>
      <c r="I364" t="s">
        <v>605</v>
      </c>
      <c r="J364">
        <v>411036</v>
      </c>
      <c r="K364" t="s">
        <v>47</v>
      </c>
      <c r="L364" s="1">
        <v>42375.589583333334</v>
      </c>
      <c r="M364" s="1">
        <v>42375</v>
      </c>
      <c r="N364" s="3">
        <f>INT(BrightTV_JoinedTablesnw_2026_04_16_23_55_09[[#This Row],[Viewership.RecordDate22]])</f>
        <v>42375</v>
      </c>
      <c r="O364" s="2">
        <v>0.58958333333333335</v>
      </c>
      <c r="P364" t="s">
        <v>322</v>
      </c>
      <c r="Q364">
        <v>411036</v>
      </c>
      <c r="R364" t="s">
        <v>20</v>
      </c>
    </row>
    <row r="365" spans="1:18" x14ac:dyDescent="0.25">
      <c r="A365">
        <v>779471</v>
      </c>
      <c r="B365" t="s">
        <v>219</v>
      </c>
      <c r="C365" t="s">
        <v>276</v>
      </c>
      <c r="D365" t="s">
        <v>220</v>
      </c>
      <c r="E365" t="s">
        <v>38</v>
      </c>
      <c r="F365" t="s">
        <v>39</v>
      </c>
      <c r="G365">
        <v>28</v>
      </c>
      <c r="H365" t="s">
        <v>26</v>
      </c>
      <c r="I365" t="s">
        <v>221</v>
      </c>
      <c r="J365">
        <v>779471</v>
      </c>
      <c r="K365" t="s">
        <v>30</v>
      </c>
      <c r="L365" s="1">
        <v>42410.359722222223</v>
      </c>
      <c r="M365" s="1">
        <v>42410</v>
      </c>
      <c r="N365" s="3">
        <f>INT(BrightTV_JoinedTablesnw_2026_04_16_23_55_09[[#This Row],[Viewership.RecordDate22]])</f>
        <v>42410</v>
      </c>
      <c r="O365" s="2">
        <v>0.35972222222222222</v>
      </c>
      <c r="P365" t="s">
        <v>606</v>
      </c>
      <c r="Q365">
        <v>779471</v>
      </c>
      <c r="R365" t="s">
        <v>20</v>
      </c>
    </row>
    <row r="366" spans="1:18" x14ac:dyDescent="0.25">
      <c r="A366">
        <v>809021</v>
      </c>
      <c r="B366" t="s">
        <v>93</v>
      </c>
      <c r="C366" t="s">
        <v>66</v>
      </c>
      <c r="D366" t="s">
        <v>95</v>
      </c>
      <c r="E366" t="s">
        <v>38</v>
      </c>
      <c r="F366" t="s">
        <v>39</v>
      </c>
      <c r="G366">
        <v>41</v>
      </c>
      <c r="H366" t="s">
        <v>40</v>
      </c>
      <c r="I366" t="s">
        <v>97</v>
      </c>
      <c r="J366">
        <v>809021</v>
      </c>
      <c r="K366" t="s">
        <v>47</v>
      </c>
      <c r="L366" s="1">
        <v>42419.977777777778</v>
      </c>
      <c r="M366" s="1">
        <v>42419</v>
      </c>
      <c r="N366" s="3">
        <f>INT(BrightTV_JoinedTablesnw_2026_04_16_23_55_09[[#This Row],[Viewership.RecordDate22]])</f>
        <v>42419</v>
      </c>
      <c r="O366" s="2">
        <v>0.97777777777777775</v>
      </c>
      <c r="P366" t="s">
        <v>504</v>
      </c>
      <c r="Q366">
        <v>809021</v>
      </c>
      <c r="R366" t="s">
        <v>20</v>
      </c>
    </row>
    <row r="367" spans="1:18" x14ac:dyDescent="0.25">
      <c r="A367">
        <v>422095</v>
      </c>
      <c r="B367" t="s">
        <v>16</v>
      </c>
      <c r="C367" t="s">
        <v>16</v>
      </c>
      <c r="D367" t="s">
        <v>607</v>
      </c>
      <c r="E367" t="s">
        <v>16</v>
      </c>
      <c r="F367" t="s">
        <v>16</v>
      </c>
      <c r="G367">
        <v>0</v>
      </c>
      <c r="H367" t="s">
        <v>16</v>
      </c>
      <c r="I367" t="s">
        <v>16</v>
      </c>
      <c r="J367">
        <v>422095</v>
      </c>
      <c r="K367" t="s">
        <v>18</v>
      </c>
      <c r="L367" s="1">
        <v>42459.683333333334</v>
      </c>
      <c r="M367" s="1">
        <v>42459</v>
      </c>
      <c r="N367" s="3">
        <f>INT(BrightTV_JoinedTablesnw_2026_04_16_23_55_09[[#This Row],[Viewership.RecordDate22]])</f>
        <v>42459</v>
      </c>
      <c r="O367" s="2">
        <v>0.68333333333333335</v>
      </c>
      <c r="P367" t="s">
        <v>71</v>
      </c>
      <c r="Q367">
        <v>422095</v>
      </c>
      <c r="R367" t="s">
        <v>20</v>
      </c>
    </row>
    <row r="368" spans="1:18" x14ac:dyDescent="0.25">
      <c r="A368">
        <v>771889</v>
      </c>
      <c r="B368" t="s">
        <v>484</v>
      </c>
      <c r="C368" t="s">
        <v>123</v>
      </c>
      <c r="D368" t="s">
        <v>608</v>
      </c>
      <c r="E368" t="s">
        <v>38</v>
      </c>
      <c r="F368" t="s">
        <v>39</v>
      </c>
      <c r="G368">
        <v>46</v>
      </c>
      <c r="H368" t="s">
        <v>26</v>
      </c>
      <c r="I368" t="s">
        <v>486</v>
      </c>
      <c r="J368">
        <v>771889</v>
      </c>
      <c r="K368" t="s">
        <v>129</v>
      </c>
      <c r="L368" s="1">
        <v>42396.738194444442</v>
      </c>
      <c r="M368" s="1">
        <v>42396</v>
      </c>
      <c r="N368" s="3">
        <f>INT(BrightTV_JoinedTablesnw_2026_04_16_23_55_09[[#This Row],[Viewership.RecordDate22]])</f>
        <v>42396</v>
      </c>
      <c r="O368" s="2">
        <v>0.73819444444444449</v>
      </c>
      <c r="P368" t="s">
        <v>609</v>
      </c>
      <c r="Q368">
        <v>771889</v>
      </c>
      <c r="R368" t="s">
        <v>20</v>
      </c>
    </row>
    <row r="369" spans="1:18" x14ac:dyDescent="0.25">
      <c r="A369">
        <v>771889</v>
      </c>
      <c r="B369" t="s">
        <v>484</v>
      </c>
      <c r="C369" t="s">
        <v>123</v>
      </c>
      <c r="D369" t="s">
        <v>608</v>
      </c>
      <c r="E369" t="s">
        <v>38</v>
      </c>
      <c r="F369" t="s">
        <v>39</v>
      </c>
      <c r="G369">
        <v>46</v>
      </c>
      <c r="H369" t="s">
        <v>26</v>
      </c>
      <c r="I369" t="s">
        <v>486</v>
      </c>
      <c r="J369">
        <v>771889</v>
      </c>
      <c r="K369" t="s">
        <v>129</v>
      </c>
      <c r="L369" s="1">
        <v>42390.702777777777</v>
      </c>
      <c r="M369" s="1">
        <v>42390</v>
      </c>
      <c r="N369" s="3">
        <f>INT(BrightTV_JoinedTablesnw_2026_04_16_23_55_09[[#This Row],[Viewership.RecordDate22]])</f>
        <v>42390</v>
      </c>
      <c r="O369" s="2">
        <v>0.70277777777777772</v>
      </c>
      <c r="P369" t="s">
        <v>610</v>
      </c>
      <c r="Q369">
        <v>771889</v>
      </c>
      <c r="R369" t="s">
        <v>20</v>
      </c>
    </row>
    <row r="370" spans="1:18" x14ac:dyDescent="0.25">
      <c r="A370">
        <v>432435</v>
      </c>
      <c r="B370" t="s">
        <v>49</v>
      </c>
      <c r="C370" t="s">
        <v>202</v>
      </c>
      <c r="D370" t="s">
        <v>611</v>
      </c>
      <c r="E370" t="s">
        <v>38</v>
      </c>
      <c r="F370" t="s">
        <v>39</v>
      </c>
      <c r="G370">
        <v>53</v>
      </c>
      <c r="H370" t="s">
        <v>52</v>
      </c>
      <c r="I370" t="s">
        <v>53</v>
      </c>
      <c r="J370">
        <v>432435</v>
      </c>
      <c r="K370" t="s">
        <v>47</v>
      </c>
      <c r="L370" s="1">
        <v>42374.929166666669</v>
      </c>
      <c r="M370" s="1">
        <v>42374</v>
      </c>
      <c r="N370" s="3">
        <f>INT(BrightTV_JoinedTablesnw_2026_04_16_23_55_09[[#This Row],[Viewership.RecordDate22]])</f>
        <v>42374</v>
      </c>
      <c r="O370" s="2">
        <v>0.9291666666666667</v>
      </c>
      <c r="P370" t="s">
        <v>612</v>
      </c>
      <c r="Q370">
        <v>432435</v>
      </c>
      <c r="R370" t="s">
        <v>20</v>
      </c>
    </row>
    <row r="371" spans="1:18" x14ac:dyDescent="0.25">
      <c r="A371">
        <v>793662</v>
      </c>
      <c r="B371" t="s">
        <v>219</v>
      </c>
      <c r="C371" t="s">
        <v>22</v>
      </c>
      <c r="D371" t="s">
        <v>613</v>
      </c>
      <c r="E371" t="s">
        <v>38</v>
      </c>
      <c r="F371" t="s">
        <v>96</v>
      </c>
      <c r="G371">
        <v>26</v>
      </c>
      <c r="H371" t="s">
        <v>60</v>
      </c>
      <c r="I371" t="s">
        <v>221</v>
      </c>
      <c r="J371">
        <v>793662</v>
      </c>
      <c r="K371" t="s">
        <v>62</v>
      </c>
      <c r="L371" s="1">
        <v>42400.537499999999</v>
      </c>
      <c r="M371" s="1">
        <v>42400</v>
      </c>
      <c r="N371" s="3">
        <f>INT(BrightTV_JoinedTablesnw_2026_04_16_23_55_09[[#This Row],[Viewership.RecordDate22]])</f>
        <v>42400</v>
      </c>
      <c r="O371" s="2">
        <v>0.53749999999999998</v>
      </c>
      <c r="P371" t="s">
        <v>614</v>
      </c>
      <c r="Q371">
        <v>793662</v>
      </c>
      <c r="R371" t="s">
        <v>20</v>
      </c>
    </row>
    <row r="372" spans="1:18" x14ac:dyDescent="0.25">
      <c r="A372">
        <v>793662</v>
      </c>
      <c r="B372" t="s">
        <v>219</v>
      </c>
      <c r="C372" t="s">
        <v>22</v>
      </c>
      <c r="D372" t="s">
        <v>613</v>
      </c>
      <c r="E372" t="s">
        <v>38</v>
      </c>
      <c r="F372" t="s">
        <v>96</v>
      </c>
      <c r="G372">
        <v>26</v>
      </c>
      <c r="H372" t="s">
        <v>60</v>
      </c>
      <c r="I372" t="s">
        <v>221</v>
      </c>
      <c r="J372">
        <v>793662</v>
      </c>
      <c r="K372" t="s">
        <v>32</v>
      </c>
      <c r="L372" s="1">
        <v>42398.729861111111</v>
      </c>
      <c r="M372" s="1">
        <v>42398</v>
      </c>
      <c r="N372" s="3">
        <f>INT(BrightTV_JoinedTablesnw_2026_04_16_23_55_09[[#This Row],[Viewership.RecordDate22]])</f>
        <v>42398</v>
      </c>
      <c r="O372" s="2">
        <v>0.72986111111111107</v>
      </c>
      <c r="P372" t="s">
        <v>287</v>
      </c>
      <c r="Q372">
        <v>793662</v>
      </c>
      <c r="R372" t="s">
        <v>20</v>
      </c>
    </row>
    <row r="373" spans="1:18" x14ac:dyDescent="0.25">
      <c r="A373">
        <v>793662</v>
      </c>
      <c r="B373" t="s">
        <v>219</v>
      </c>
      <c r="C373" t="s">
        <v>22</v>
      </c>
      <c r="D373" t="s">
        <v>613</v>
      </c>
      <c r="E373" t="s">
        <v>38</v>
      </c>
      <c r="F373" t="s">
        <v>96</v>
      </c>
      <c r="G373">
        <v>26</v>
      </c>
      <c r="H373" t="s">
        <v>60</v>
      </c>
      <c r="I373" t="s">
        <v>221</v>
      </c>
      <c r="J373">
        <v>793662</v>
      </c>
      <c r="K373" t="s">
        <v>77</v>
      </c>
      <c r="L373" s="1">
        <v>42460.950694444444</v>
      </c>
      <c r="M373" s="1">
        <v>42460</v>
      </c>
      <c r="N373" s="3">
        <f>INT(BrightTV_JoinedTablesnw_2026_04_16_23_55_09[[#This Row],[Viewership.RecordDate22]])</f>
        <v>42460</v>
      </c>
      <c r="O373" s="2">
        <v>0.9506944444444444</v>
      </c>
      <c r="P373" t="s">
        <v>615</v>
      </c>
      <c r="Q373">
        <v>793662</v>
      </c>
      <c r="R373" t="s">
        <v>20</v>
      </c>
    </row>
    <row r="374" spans="1:18" x14ac:dyDescent="0.25">
      <c r="A374">
        <v>474745</v>
      </c>
      <c r="B374" t="s">
        <v>35</v>
      </c>
      <c r="C374" t="s">
        <v>283</v>
      </c>
      <c r="D374" t="s">
        <v>37</v>
      </c>
      <c r="E374" t="s">
        <v>38</v>
      </c>
      <c r="F374" t="s">
        <v>39</v>
      </c>
      <c r="G374">
        <v>18</v>
      </c>
      <c r="H374" t="s">
        <v>138</v>
      </c>
      <c r="I374" t="s">
        <v>41</v>
      </c>
      <c r="J374">
        <v>474745</v>
      </c>
      <c r="K374" t="s">
        <v>32</v>
      </c>
      <c r="L374" s="1">
        <v>42390.564583333333</v>
      </c>
      <c r="M374" s="1">
        <v>42390</v>
      </c>
      <c r="N374" s="3">
        <f>INT(BrightTV_JoinedTablesnw_2026_04_16_23_55_09[[#This Row],[Viewership.RecordDate22]])</f>
        <v>42390</v>
      </c>
      <c r="O374" s="2">
        <v>0.56458333333333333</v>
      </c>
      <c r="P374" t="s">
        <v>616</v>
      </c>
      <c r="Q374">
        <v>474745</v>
      </c>
      <c r="R374" t="s">
        <v>20</v>
      </c>
    </row>
    <row r="375" spans="1:18" x14ac:dyDescent="0.25">
      <c r="A375">
        <v>474745</v>
      </c>
      <c r="B375" t="s">
        <v>35</v>
      </c>
      <c r="C375" t="s">
        <v>283</v>
      </c>
      <c r="D375" t="s">
        <v>37</v>
      </c>
      <c r="E375" t="s">
        <v>38</v>
      </c>
      <c r="F375" t="s">
        <v>39</v>
      </c>
      <c r="G375">
        <v>18</v>
      </c>
      <c r="H375" t="s">
        <v>138</v>
      </c>
      <c r="I375" t="s">
        <v>41</v>
      </c>
      <c r="J375">
        <v>474745</v>
      </c>
      <c r="K375" t="s">
        <v>32</v>
      </c>
      <c r="L375" s="1">
        <v>42389.655555555553</v>
      </c>
      <c r="M375" s="1">
        <v>42389</v>
      </c>
      <c r="N375" s="3">
        <f>INT(BrightTV_JoinedTablesnw_2026_04_16_23_55_09[[#This Row],[Viewership.RecordDate22]])</f>
        <v>42389</v>
      </c>
      <c r="O375" s="2">
        <v>0.65555555555555556</v>
      </c>
      <c r="P375" t="s">
        <v>617</v>
      </c>
      <c r="Q375">
        <v>474745</v>
      </c>
      <c r="R375" t="s">
        <v>20</v>
      </c>
    </row>
    <row r="376" spans="1:18" x14ac:dyDescent="0.25">
      <c r="A376">
        <v>480591</v>
      </c>
      <c r="B376" t="s">
        <v>16</v>
      </c>
      <c r="C376" t="s">
        <v>16</v>
      </c>
      <c r="D376" t="s">
        <v>618</v>
      </c>
      <c r="E376" t="s">
        <v>16</v>
      </c>
      <c r="F376" t="s">
        <v>16</v>
      </c>
      <c r="G376">
        <v>0</v>
      </c>
      <c r="H376" t="s">
        <v>16</v>
      </c>
      <c r="I376" t="s">
        <v>16</v>
      </c>
      <c r="J376">
        <v>480591</v>
      </c>
      <c r="K376" t="s">
        <v>47</v>
      </c>
      <c r="L376" s="1">
        <v>42455.303472222222</v>
      </c>
      <c r="M376" s="1">
        <v>42455</v>
      </c>
      <c r="N376" s="3">
        <f>INT(BrightTV_JoinedTablesnw_2026_04_16_23_55_09[[#This Row],[Viewership.RecordDate22]])</f>
        <v>42455</v>
      </c>
      <c r="O376" s="2">
        <v>0.3034722222222222</v>
      </c>
      <c r="P376" t="s">
        <v>619</v>
      </c>
      <c r="Q376">
        <v>480591</v>
      </c>
      <c r="R376" t="s">
        <v>20</v>
      </c>
    </row>
    <row r="377" spans="1:18" x14ac:dyDescent="0.25">
      <c r="A377">
        <v>488096</v>
      </c>
      <c r="B377" t="s">
        <v>80</v>
      </c>
      <c r="C377" t="s">
        <v>44</v>
      </c>
      <c r="D377" t="s">
        <v>620</v>
      </c>
      <c r="E377" t="s">
        <v>38</v>
      </c>
      <c r="F377" t="s">
        <v>39</v>
      </c>
      <c r="G377">
        <v>51</v>
      </c>
      <c r="H377" t="s">
        <v>40</v>
      </c>
      <c r="I377" t="s">
        <v>83</v>
      </c>
      <c r="J377">
        <v>488096</v>
      </c>
      <c r="K377" t="s">
        <v>32</v>
      </c>
      <c r="L377" s="1">
        <v>42393.594444444447</v>
      </c>
      <c r="M377" s="1">
        <v>42393</v>
      </c>
      <c r="N377" s="3">
        <f>INT(BrightTV_JoinedTablesnw_2026_04_16_23_55_09[[#This Row],[Viewership.RecordDate22]])</f>
        <v>42393</v>
      </c>
      <c r="O377" s="2">
        <v>0.59444444444444444</v>
      </c>
      <c r="P377" t="s">
        <v>621</v>
      </c>
      <c r="Q377">
        <v>488096</v>
      </c>
      <c r="R377" t="s">
        <v>20</v>
      </c>
    </row>
    <row r="378" spans="1:18" x14ac:dyDescent="0.25">
      <c r="A378">
        <v>492897</v>
      </c>
      <c r="B378" t="s">
        <v>622</v>
      </c>
      <c r="C378" t="s">
        <v>36</v>
      </c>
      <c r="D378" t="s">
        <v>623</v>
      </c>
      <c r="E378" t="s">
        <v>38</v>
      </c>
      <c r="F378" t="s">
        <v>96</v>
      </c>
      <c r="G378">
        <v>23</v>
      </c>
      <c r="H378" t="s">
        <v>75</v>
      </c>
      <c r="I378" t="s">
        <v>624</v>
      </c>
      <c r="J378">
        <v>492897</v>
      </c>
      <c r="K378" t="s">
        <v>32</v>
      </c>
      <c r="L378" s="1">
        <v>42389.674305555556</v>
      </c>
      <c r="M378" s="1">
        <v>42389</v>
      </c>
      <c r="N378" s="3">
        <f>INT(BrightTV_JoinedTablesnw_2026_04_16_23_55_09[[#This Row],[Viewership.RecordDate22]])</f>
        <v>42389</v>
      </c>
      <c r="O378" s="2">
        <v>0.6743055555555556</v>
      </c>
      <c r="P378" t="s">
        <v>625</v>
      </c>
      <c r="Q378">
        <v>492897</v>
      </c>
      <c r="R378" t="s">
        <v>20</v>
      </c>
    </row>
    <row r="379" spans="1:18" x14ac:dyDescent="0.25">
      <c r="A379">
        <v>492897</v>
      </c>
      <c r="B379" t="s">
        <v>622</v>
      </c>
      <c r="C379" t="s">
        <v>36</v>
      </c>
      <c r="D379" t="s">
        <v>623</v>
      </c>
      <c r="E379" t="s">
        <v>38</v>
      </c>
      <c r="F379" t="s">
        <v>96</v>
      </c>
      <c r="G379">
        <v>23</v>
      </c>
      <c r="H379" t="s">
        <v>75</v>
      </c>
      <c r="I379" t="s">
        <v>624</v>
      </c>
      <c r="J379">
        <v>492897</v>
      </c>
      <c r="K379" t="s">
        <v>77</v>
      </c>
      <c r="L379" s="1">
        <v>42388.042361111111</v>
      </c>
      <c r="M379" s="1">
        <v>42388</v>
      </c>
      <c r="N379" s="3">
        <f>INT(BrightTV_JoinedTablesnw_2026_04_16_23_55_09[[#This Row],[Viewership.RecordDate22]])</f>
        <v>42388</v>
      </c>
      <c r="O379" s="2">
        <v>4.2361111111111113E-2</v>
      </c>
      <c r="P379" t="s">
        <v>463</v>
      </c>
      <c r="Q379">
        <v>492897</v>
      </c>
      <c r="R379" t="s">
        <v>20</v>
      </c>
    </row>
    <row r="380" spans="1:18" x14ac:dyDescent="0.25">
      <c r="A380">
        <v>809028</v>
      </c>
      <c r="B380" t="s">
        <v>192</v>
      </c>
      <c r="C380" t="s">
        <v>155</v>
      </c>
      <c r="D380" t="s">
        <v>626</v>
      </c>
      <c r="E380" t="s">
        <v>38</v>
      </c>
      <c r="F380" t="s">
        <v>25</v>
      </c>
      <c r="G380">
        <v>32</v>
      </c>
      <c r="H380" t="s">
        <v>52</v>
      </c>
      <c r="I380" t="s">
        <v>195</v>
      </c>
      <c r="J380">
        <v>809028</v>
      </c>
      <c r="K380" t="s">
        <v>69</v>
      </c>
      <c r="L380" s="1">
        <v>42414.218055555553</v>
      </c>
      <c r="M380" s="1">
        <v>42414</v>
      </c>
      <c r="N380" s="3">
        <f>INT(BrightTV_JoinedTablesnw_2026_04_16_23_55_09[[#This Row],[Viewership.RecordDate22]])</f>
        <v>42414</v>
      </c>
      <c r="O380" s="2">
        <v>0.21805555555555556</v>
      </c>
      <c r="P380" t="s">
        <v>322</v>
      </c>
      <c r="Q380">
        <v>809028</v>
      </c>
      <c r="R380" t="s">
        <v>20</v>
      </c>
    </row>
    <row r="381" spans="1:18" x14ac:dyDescent="0.25">
      <c r="A381">
        <v>809028</v>
      </c>
      <c r="B381" t="s">
        <v>192</v>
      </c>
      <c r="C381" t="s">
        <v>155</v>
      </c>
      <c r="D381" t="s">
        <v>626</v>
      </c>
      <c r="E381" t="s">
        <v>38</v>
      </c>
      <c r="F381" t="s">
        <v>25</v>
      </c>
      <c r="G381">
        <v>32</v>
      </c>
      <c r="H381" t="s">
        <v>52</v>
      </c>
      <c r="I381" t="s">
        <v>195</v>
      </c>
      <c r="J381">
        <v>809028</v>
      </c>
      <c r="K381" t="s">
        <v>47</v>
      </c>
      <c r="L381" s="1">
        <v>42418.472222222219</v>
      </c>
      <c r="M381" s="1">
        <v>42418</v>
      </c>
      <c r="N381" s="3">
        <f>INT(BrightTV_JoinedTablesnw_2026_04_16_23_55_09[[#This Row],[Viewership.RecordDate22]])</f>
        <v>42418</v>
      </c>
      <c r="O381" s="2">
        <v>0.47222222222222221</v>
      </c>
      <c r="P381" t="s">
        <v>64</v>
      </c>
      <c r="Q381">
        <v>809028</v>
      </c>
      <c r="R381" t="s">
        <v>20</v>
      </c>
    </row>
    <row r="382" spans="1:18" x14ac:dyDescent="0.25">
      <c r="A382">
        <v>521247</v>
      </c>
      <c r="B382" t="s">
        <v>232</v>
      </c>
      <c r="C382" t="s">
        <v>136</v>
      </c>
      <c r="D382" t="s">
        <v>627</v>
      </c>
      <c r="E382" t="s">
        <v>38</v>
      </c>
      <c r="F382" t="s">
        <v>39</v>
      </c>
      <c r="G382">
        <v>21</v>
      </c>
      <c r="H382" t="s">
        <v>75</v>
      </c>
      <c r="I382" t="s">
        <v>235</v>
      </c>
      <c r="J382">
        <v>521247</v>
      </c>
      <c r="K382" t="s">
        <v>129</v>
      </c>
      <c r="L382" s="1">
        <v>42372.95208333333</v>
      </c>
      <c r="M382" s="1">
        <v>42372</v>
      </c>
      <c r="N382" s="3">
        <f>INT(BrightTV_JoinedTablesnw_2026_04_16_23_55_09[[#This Row],[Viewership.RecordDate22]])</f>
        <v>42372</v>
      </c>
      <c r="O382" s="2">
        <v>0.95208333333333328</v>
      </c>
      <c r="P382" t="s">
        <v>628</v>
      </c>
      <c r="Q382">
        <v>521247</v>
      </c>
      <c r="R382" t="s">
        <v>20</v>
      </c>
    </row>
    <row r="383" spans="1:18" x14ac:dyDescent="0.25">
      <c r="A383">
        <v>521247</v>
      </c>
      <c r="B383" t="s">
        <v>232</v>
      </c>
      <c r="C383" t="s">
        <v>136</v>
      </c>
      <c r="D383" t="s">
        <v>627</v>
      </c>
      <c r="E383" t="s">
        <v>38</v>
      </c>
      <c r="F383" t="s">
        <v>39</v>
      </c>
      <c r="G383">
        <v>21</v>
      </c>
      <c r="H383" t="s">
        <v>75</v>
      </c>
      <c r="I383" t="s">
        <v>235</v>
      </c>
      <c r="J383">
        <v>521247</v>
      </c>
      <c r="K383" t="s">
        <v>32</v>
      </c>
      <c r="L383" s="1">
        <v>42377.600694444445</v>
      </c>
      <c r="M383" s="1">
        <v>42377</v>
      </c>
      <c r="N383" s="3">
        <f>INT(BrightTV_JoinedTablesnw_2026_04_16_23_55_09[[#This Row],[Viewership.RecordDate22]])</f>
        <v>42377</v>
      </c>
      <c r="O383" s="2">
        <v>0.60069444444444442</v>
      </c>
      <c r="P383" t="s">
        <v>629</v>
      </c>
      <c r="Q383">
        <v>521247</v>
      </c>
      <c r="R383" t="s">
        <v>20</v>
      </c>
    </row>
    <row r="384" spans="1:18" x14ac:dyDescent="0.25">
      <c r="A384">
        <v>530321</v>
      </c>
      <c r="B384" t="s">
        <v>630</v>
      </c>
      <c r="C384" t="s">
        <v>73</v>
      </c>
      <c r="D384" t="s">
        <v>631</v>
      </c>
      <c r="E384" t="s">
        <v>24</v>
      </c>
      <c r="F384" t="s">
        <v>39</v>
      </c>
      <c r="G384">
        <v>33</v>
      </c>
      <c r="H384" t="s">
        <v>138</v>
      </c>
      <c r="I384" t="s">
        <v>632</v>
      </c>
      <c r="J384">
        <v>530321</v>
      </c>
      <c r="K384" t="s">
        <v>54</v>
      </c>
      <c r="L384" s="1">
        <v>42395.365972222222</v>
      </c>
      <c r="M384" s="1">
        <v>42395</v>
      </c>
      <c r="N384" s="3">
        <f>INT(BrightTV_JoinedTablesnw_2026_04_16_23_55_09[[#This Row],[Viewership.RecordDate22]])</f>
        <v>42395</v>
      </c>
      <c r="O384" s="2">
        <v>0.3659722222222222</v>
      </c>
      <c r="P384" t="s">
        <v>200</v>
      </c>
      <c r="Q384">
        <v>530321</v>
      </c>
      <c r="R384" t="s">
        <v>20</v>
      </c>
    </row>
    <row r="385" spans="1:18" x14ac:dyDescent="0.25">
      <c r="A385">
        <v>530495</v>
      </c>
      <c r="B385" t="s">
        <v>587</v>
      </c>
      <c r="C385" t="s">
        <v>36</v>
      </c>
      <c r="D385" t="s">
        <v>633</v>
      </c>
      <c r="E385" t="s">
        <v>24</v>
      </c>
      <c r="F385" t="s">
        <v>39</v>
      </c>
      <c r="G385">
        <v>30</v>
      </c>
      <c r="H385" t="s">
        <v>40</v>
      </c>
      <c r="I385" t="s">
        <v>634</v>
      </c>
      <c r="J385">
        <v>530495</v>
      </c>
      <c r="K385" t="s">
        <v>28</v>
      </c>
      <c r="L385" s="1">
        <v>42378.805555555555</v>
      </c>
      <c r="M385" s="1">
        <v>42378</v>
      </c>
      <c r="N385" s="3">
        <f>INT(BrightTV_JoinedTablesnw_2026_04_16_23_55_09[[#This Row],[Viewership.RecordDate22]])</f>
        <v>42378</v>
      </c>
      <c r="O385" s="2">
        <v>0.80555555555555558</v>
      </c>
      <c r="P385" t="s">
        <v>540</v>
      </c>
      <c r="Q385">
        <v>530495</v>
      </c>
      <c r="R385" t="s">
        <v>20</v>
      </c>
    </row>
    <row r="386" spans="1:18" x14ac:dyDescent="0.25">
      <c r="A386">
        <v>531053</v>
      </c>
      <c r="B386" t="s">
        <v>232</v>
      </c>
      <c r="C386" t="s">
        <v>136</v>
      </c>
      <c r="D386" t="s">
        <v>635</v>
      </c>
      <c r="E386" t="s">
        <v>38</v>
      </c>
      <c r="F386" t="s">
        <v>96</v>
      </c>
      <c r="G386">
        <v>18</v>
      </c>
      <c r="H386" t="s">
        <v>60</v>
      </c>
      <c r="I386" t="s">
        <v>235</v>
      </c>
      <c r="J386">
        <v>531053</v>
      </c>
      <c r="K386" t="s">
        <v>84</v>
      </c>
      <c r="L386" s="1">
        <v>42380.381249999999</v>
      </c>
      <c r="M386" s="1">
        <v>42380</v>
      </c>
      <c r="N386" s="3">
        <f>INT(BrightTV_JoinedTablesnw_2026_04_16_23_55_09[[#This Row],[Viewership.RecordDate22]])</f>
        <v>42380</v>
      </c>
      <c r="O386" s="2">
        <v>0.38124999999999998</v>
      </c>
      <c r="P386" t="s">
        <v>636</v>
      </c>
      <c r="Q386">
        <v>531053</v>
      </c>
      <c r="R386" t="s">
        <v>20</v>
      </c>
    </row>
    <row r="387" spans="1:18" x14ac:dyDescent="0.25">
      <c r="A387">
        <v>808003</v>
      </c>
      <c r="B387" t="s">
        <v>385</v>
      </c>
      <c r="C387" t="s">
        <v>344</v>
      </c>
      <c r="D387" t="s">
        <v>637</v>
      </c>
      <c r="E387" t="s">
        <v>38</v>
      </c>
      <c r="F387" t="s">
        <v>25</v>
      </c>
      <c r="G387">
        <v>17</v>
      </c>
      <c r="H387" t="s">
        <v>40</v>
      </c>
      <c r="I387" t="s">
        <v>387</v>
      </c>
      <c r="J387">
        <v>808003</v>
      </c>
      <c r="K387" t="s">
        <v>32</v>
      </c>
      <c r="L387" s="1">
        <v>42428.434027777781</v>
      </c>
      <c r="M387" s="1">
        <v>42428</v>
      </c>
      <c r="N387" s="3">
        <f>INT(BrightTV_JoinedTablesnw_2026_04_16_23_55_09[[#This Row],[Viewership.RecordDate22]])</f>
        <v>42428</v>
      </c>
      <c r="O387" s="2">
        <v>0.43402777777777779</v>
      </c>
      <c r="P387" t="s">
        <v>401</v>
      </c>
      <c r="Q387">
        <v>808003</v>
      </c>
      <c r="R387" t="s">
        <v>20</v>
      </c>
    </row>
    <row r="388" spans="1:18" x14ac:dyDescent="0.25">
      <c r="A388">
        <v>536151</v>
      </c>
      <c r="B388" t="s">
        <v>638</v>
      </c>
      <c r="C388" t="s">
        <v>123</v>
      </c>
      <c r="D388" t="s">
        <v>639</v>
      </c>
      <c r="E388" t="s">
        <v>24</v>
      </c>
      <c r="F388" t="s">
        <v>25</v>
      </c>
      <c r="G388">
        <v>42</v>
      </c>
      <c r="H388" t="s">
        <v>60</v>
      </c>
      <c r="I388" t="s">
        <v>640</v>
      </c>
      <c r="J388">
        <v>536151</v>
      </c>
      <c r="K388" t="s">
        <v>84</v>
      </c>
      <c r="L388" s="1">
        <v>42380.677083333336</v>
      </c>
      <c r="M388" s="1">
        <v>42380</v>
      </c>
      <c r="N388" s="3">
        <f>INT(BrightTV_JoinedTablesnw_2026_04_16_23_55_09[[#This Row],[Viewership.RecordDate22]])</f>
        <v>42380</v>
      </c>
      <c r="O388" s="2">
        <v>0.67708333333333337</v>
      </c>
      <c r="P388" t="s">
        <v>498</v>
      </c>
      <c r="Q388">
        <v>536151</v>
      </c>
      <c r="R388" t="s">
        <v>20</v>
      </c>
    </row>
    <row r="389" spans="1:18" x14ac:dyDescent="0.25">
      <c r="A389">
        <v>793670</v>
      </c>
      <c r="B389" t="s">
        <v>115</v>
      </c>
      <c r="C389" t="s">
        <v>182</v>
      </c>
      <c r="D389" t="s">
        <v>383</v>
      </c>
      <c r="E389" t="s">
        <v>38</v>
      </c>
      <c r="F389" t="s">
        <v>96</v>
      </c>
      <c r="G389">
        <v>44</v>
      </c>
      <c r="H389" t="s">
        <v>60</v>
      </c>
      <c r="I389" t="s">
        <v>118</v>
      </c>
      <c r="J389">
        <v>793670</v>
      </c>
      <c r="K389" t="s">
        <v>84</v>
      </c>
      <c r="L389" s="1">
        <v>42386.904861111114</v>
      </c>
      <c r="M389" s="1">
        <v>42386</v>
      </c>
      <c r="N389" s="3">
        <f>INT(BrightTV_JoinedTablesnw_2026_04_16_23_55_09[[#This Row],[Viewership.RecordDate22]])</f>
        <v>42386</v>
      </c>
      <c r="O389" s="2">
        <v>0.90486111111111112</v>
      </c>
      <c r="P389" t="s">
        <v>641</v>
      </c>
      <c r="Q389">
        <v>793670</v>
      </c>
      <c r="R389" t="s">
        <v>20</v>
      </c>
    </row>
    <row r="390" spans="1:18" x14ac:dyDescent="0.25">
      <c r="A390">
        <v>793670</v>
      </c>
      <c r="B390" t="s">
        <v>115</v>
      </c>
      <c r="C390" t="s">
        <v>182</v>
      </c>
      <c r="D390" t="s">
        <v>383</v>
      </c>
      <c r="E390" t="s">
        <v>38</v>
      </c>
      <c r="F390" t="s">
        <v>96</v>
      </c>
      <c r="G390">
        <v>44</v>
      </c>
      <c r="H390" t="s">
        <v>60</v>
      </c>
      <c r="I390" t="s">
        <v>118</v>
      </c>
      <c r="J390">
        <v>793670</v>
      </c>
      <c r="K390" t="s">
        <v>54</v>
      </c>
      <c r="L390" s="1">
        <v>42398.775694444441</v>
      </c>
      <c r="M390" s="1">
        <v>42398</v>
      </c>
      <c r="N390" s="3">
        <f>INT(BrightTV_JoinedTablesnw_2026_04_16_23_55_09[[#This Row],[Viewership.RecordDate22]])</f>
        <v>42398</v>
      </c>
      <c r="O390" s="2">
        <v>0.77569444444444446</v>
      </c>
      <c r="P390" t="s">
        <v>642</v>
      </c>
      <c r="Q390">
        <v>793670</v>
      </c>
      <c r="R390" t="s">
        <v>20</v>
      </c>
    </row>
    <row r="391" spans="1:18" x14ac:dyDescent="0.25">
      <c r="A391">
        <v>793670</v>
      </c>
      <c r="B391" t="s">
        <v>115</v>
      </c>
      <c r="C391" t="s">
        <v>182</v>
      </c>
      <c r="D391" t="s">
        <v>383</v>
      </c>
      <c r="E391" t="s">
        <v>38</v>
      </c>
      <c r="F391" t="s">
        <v>96</v>
      </c>
      <c r="G391">
        <v>44</v>
      </c>
      <c r="H391" t="s">
        <v>60</v>
      </c>
      <c r="I391" t="s">
        <v>118</v>
      </c>
      <c r="J391">
        <v>793670</v>
      </c>
      <c r="K391" t="s">
        <v>169</v>
      </c>
      <c r="L391" s="1">
        <v>42387.719444444447</v>
      </c>
      <c r="M391" s="1">
        <v>42387</v>
      </c>
      <c r="N391" s="3">
        <f>INT(BrightTV_JoinedTablesnw_2026_04_16_23_55_09[[#This Row],[Viewership.RecordDate22]])</f>
        <v>42387</v>
      </c>
      <c r="O391" s="2">
        <v>0.71944444444444444</v>
      </c>
      <c r="P391" t="s">
        <v>161</v>
      </c>
      <c r="Q391">
        <v>793670</v>
      </c>
      <c r="R391" t="s">
        <v>20</v>
      </c>
    </row>
    <row r="392" spans="1:18" x14ac:dyDescent="0.25">
      <c r="A392">
        <v>793670</v>
      </c>
      <c r="B392" t="s">
        <v>115</v>
      </c>
      <c r="C392" t="s">
        <v>182</v>
      </c>
      <c r="D392" t="s">
        <v>383</v>
      </c>
      <c r="E392" t="s">
        <v>38</v>
      </c>
      <c r="F392" t="s">
        <v>96</v>
      </c>
      <c r="G392">
        <v>44</v>
      </c>
      <c r="H392" t="s">
        <v>60</v>
      </c>
      <c r="I392" t="s">
        <v>118</v>
      </c>
      <c r="J392">
        <v>793670</v>
      </c>
      <c r="K392" t="s">
        <v>30</v>
      </c>
      <c r="L392" s="1">
        <v>42384.543055555558</v>
      </c>
      <c r="M392" s="1">
        <v>42384</v>
      </c>
      <c r="N392" s="3">
        <f>INT(BrightTV_JoinedTablesnw_2026_04_16_23_55_09[[#This Row],[Viewership.RecordDate22]])</f>
        <v>42384</v>
      </c>
      <c r="O392" s="2">
        <v>0.54305555555555551</v>
      </c>
      <c r="P392" t="s">
        <v>643</v>
      </c>
      <c r="Q392">
        <v>793670</v>
      </c>
      <c r="R392" t="s">
        <v>20</v>
      </c>
    </row>
    <row r="393" spans="1:18" x14ac:dyDescent="0.25">
      <c r="A393">
        <v>549032</v>
      </c>
      <c r="B393" t="s">
        <v>402</v>
      </c>
      <c r="C393" t="s">
        <v>123</v>
      </c>
      <c r="D393" t="s">
        <v>644</v>
      </c>
      <c r="E393" t="s">
        <v>38</v>
      </c>
      <c r="F393" t="s">
        <v>39</v>
      </c>
      <c r="G393">
        <v>42</v>
      </c>
      <c r="H393" t="s">
        <v>40</v>
      </c>
      <c r="I393" t="s">
        <v>404</v>
      </c>
      <c r="J393">
        <v>549032</v>
      </c>
      <c r="K393" t="s">
        <v>54</v>
      </c>
      <c r="L393" s="1">
        <v>42381.938888888886</v>
      </c>
      <c r="M393" s="1">
        <v>42381</v>
      </c>
      <c r="N393" s="3">
        <f>INT(BrightTV_JoinedTablesnw_2026_04_16_23_55_09[[#This Row],[Viewership.RecordDate22]])</f>
        <v>42381</v>
      </c>
      <c r="O393" s="2">
        <v>0.93888888888888888</v>
      </c>
      <c r="P393" t="s">
        <v>645</v>
      </c>
      <c r="Q393">
        <v>549032</v>
      </c>
      <c r="R393" t="s">
        <v>20</v>
      </c>
    </row>
    <row r="394" spans="1:18" x14ac:dyDescent="0.25">
      <c r="A394">
        <v>549032</v>
      </c>
      <c r="B394" t="s">
        <v>402</v>
      </c>
      <c r="C394" t="s">
        <v>123</v>
      </c>
      <c r="D394" t="s">
        <v>644</v>
      </c>
      <c r="E394" t="s">
        <v>38</v>
      </c>
      <c r="F394" t="s">
        <v>39</v>
      </c>
      <c r="G394">
        <v>42</v>
      </c>
      <c r="H394" t="s">
        <v>40</v>
      </c>
      <c r="I394" t="s">
        <v>404</v>
      </c>
      <c r="J394">
        <v>549032</v>
      </c>
      <c r="K394" t="s">
        <v>30</v>
      </c>
      <c r="L394" s="1">
        <v>42381.981249999997</v>
      </c>
      <c r="M394" s="1">
        <v>42381</v>
      </c>
      <c r="N394" s="3">
        <f>INT(BrightTV_JoinedTablesnw_2026_04_16_23_55_09[[#This Row],[Viewership.RecordDate22]])</f>
        <v>42381</v>
      </c>
      <c r="O394" s="2">
        <v>0.98124999999999996</v>
      </c>
      <c r="P394" t="s">
        <v>646</v>
      </c>
      <c r="Q394">
        <v>549032</v>
      </c>
      <c r="R394" t="s">
        <v>20</v>
      </c>
    </row>
    <row r="395" spans="1:18" x14ac:dyDescent="0.25">
      <c r="A395">
        <v>552589</v>
      </c>
      <c r="B395" t="s">
        <v>542</v>
      </c>
      <c r="C395" t="s">
        <v>260</v>
      </c>
      <c r="D395" t="s">
        <v>647</v>
      </c>
      <c r="E395" t="s">
        <v>38</v>
      </c>
      <c r="F395" t="s">
        <v>16</v>
      </c>
      <c r="G395">
        <v>32</v>
      </c>
      <c r="H395" t="s">
        <v>40</v>
      </c>
      <c r="I395" t="s">
        <v>545</v>
      </c>
      <c r="J395">
        <v>552589</v>
      </c>
      <c r="K395" t="s">
        <v>84</v>
      </c>
      <c r="L395" s="1">
        <v>42385.314583333333</v>
      </c>
      <c r="M395" s="1">
        <v>42385</v>
      </c>
      <c r="N395" s="3">
        <f>INT(BrightTV_JoinedTablesnw_2026_04_16_23_55_09[[#This Row],[Viewership.RecordDate22]])</f>
        <v>42385</v>
      </c>
      <c r="O395" s="2">
        <v>0.31458333333333333</v>
      </c>
      <c r="P395" t="s">
        <v>231</v>
      </c>
      <c r="Q395">
        <v>552589</v>
      </c>
      <c r="R395" t="s">
        <v>20</v>
      </c>
    </row>
    <row r="396" spans="1:18" x14ac:dyDescent="0.25">
      <c r="A396">
        <v>809034</v>
      </c>
      <c r="B396" t="s">
        <v>223</v>
      </c>
      <c r="C396" t="s">
        <v>193</v>
      </c>
      <c r="D396" t="s">
        <v>279</v>
      </c>
      <c r="E396" t="s">
        <v>38</v>
      </c>
      <c r="F396" t="s">
        <v>39</v>
      </c>
      <c r="G396">
        <v>61</v>
      </c>
      <c r="H396" t="s">
        <v>40</v>
      </c>
      <c r="I396" t="s">
        <v>226</v>
      </c>
      <c r="J396">
        <v>809034</v>
      </c>
      <c r="K396" t="s">
        <v>18</v>
      </c>
      <c r="L396" s="1">
        <v>42432.318749999999</v>
      </c>
      <c r="M396" s="1">
        <v>42432</v>
      </c>
      <c r="N396" s="3">
        <f>INT(BrightTV_JoinedTablesnw_2026_04_16_23_55_09[[#This Row],[Viewership.RecordDate22]])</f>
        <v>42432</v>
      </c>
      <c r="O396" s="2">
        <v>0.31874999999999998</v>
      </c>
      <c r="P396" t="s">
        <v>648</v>
      </c>
      <c r="Q396">
        <v>809034</v>
      </c>
      <c r="R396" t="s">
        <v>20</v>
      </c>
    </row>
    <row r="397" spans="1:18" x14ac:dyDescent="0.25">
      <c r="A397">
        <v>809034</v>
      </c>
      <c r="B397" t="s">
        <v>223</v>
      </c>
      <c r="C397" t="s">
        <v>193</v>
      </c>
      <c r="D397" t="s">
        <v>279</v>
      </c>
      <c r="E397" t="s">
        <v>38</v>
      </c>
      <c r="F397" t="s">
        <v>39</v>
      </c>
      <c r="G397">
        <v>61</v>
      </c>
      <c r="H397" t="s">
        <v>40</v>
      </c>
      <c r="I397" t="s">
        <v>226</v>
      </c>
      <c r="J397">
        <v>809034</v>
      </c>
      <c r="K397" t="s">
        <v>32</v>
      </c>
      <c r="L397" s="1">
        <v>42430.265277777777</v>
      </c>
      <c r="M397" s="1">
        <v>42430</v>
      </c>
      <c r="N397" s="3">
        <f>INT(BrightTV_JoinedTablesnw_2026_04_16_23_55_09[[#This Row],[Viewership.RecordDate22]])</f>
        <v>42430</v>
      </c>
      <c r="O397" s="2">
        <v>0.26527777777777778</v>
      </c>
      <c r="P397" t="s">
        <v>649</v>
      </c>
      <c r="Q397">
        <v>809034</v>
      </c>
      <c r="R397" t="s">
        <v>20</v>
      </c>
    </row>
    <row r="398" spans="1:18" x14ac:dyDescent="0.25">
      <c r="A398">
        <v>793672</v>
      </c>
      <c r="B398" t="s">
        <v>176</v>
      </c>
      <c r="C398" t="s">
        <v>177</v>
      </c>
      <c r="D398" t="s">
        <v>650</v>
      </c>
      <c r="E398" t="s">
        <v>24</v>
      </c>
      <c r="F398" t="s">
        <v>39</v>
      </c>
      <c r="G398">
        <v>31</v>
      </c>
      <c r="H398" t="s">
        <v>52</v>
      </c>
      <c r="I398" t="s">
        <v>651</v>
      </c>
      <c r="J398">
        <v>793672</v>
      </c>
      <c r="K398" t="s">
        <v>129</v>
      </c>
      <c r="L398" s="1">
        <v>42390.770833333336</v>
      </c>
      <c r="M398" s="1">
        <v>42390</v>
      </c>
      <c r="N398" s="3">
        <f>INT(BrightTV_JoinedTablesnw_2026_04_16_23_55_09[[#This Row],[Viewership.RecordDate22]])</f>
        <v>42390</v>
      </c>
      <c r="O398" s="2">
        <v>0.77083333333333337</v>
      </c>
      <c r="P398" t="s">
        <v>652</v>
      </c>
      <c r="Q398">
        <v>793672</v>
      </c>
      <c r="R398" t="s">
        <v>20</v>
      </c>
    </row>
    <row r="399" spans="1:18" x14ac:dyDescent="0.25">
      <c r="A399">
        <v>576231</v>
      </c>
      <c r="B399" t="s">
        <v>317</v>
      </c>
      <c r="C399" t="s">
        <v>44</v>
      </c>
      <c r="D399" t="s">
        <v>653</v>
      </c>
      <c r="E399" t="s">
        <v>38</v>
      </c>
      <c r="F399" t="s">
        <v>39</v>
      </c>
      <c r="G399">
        <v>17</v>
      </c>
      <c r="H399" t="s">
        <v>52</v>
      </c>
      <c r="I399" t="s">
        <v>319</v>
      </c>
      <c r="J399">
        <v>576231</v>
      </c>
      <c r="K399" t="s">
        <v>77</v>
      </c>
      <c r="L399" s="1">
        <v>42372.974999999999</v>
      </c>
      <c r="M399" s="1">
        <v>42372</v>
      </c>
      <c r="N399" s="3">
        <f>INT(BrightTV_JoinedTablesnw_2026_04_16_23_55_09[[#This Row],[Viewership.RecordDate22]])</f>
        <v>42372</v>
      </c>
      <c r="O399" s="2">
        <v>0.97499999999999998</v>
      </c>
      <c r="P399" t="s">
        <v>302</v>
      </c>
      <c r="Q399">
        <v>576231</v>
      </c>
      <c r="R399" t="s">
        <v>20</v>
      </c>
    </row>
    <row r="400" spans="1:18" x14ac:dyDescent="0.25">
      <c r="A400">
        <v>576231</v>
      </c>
      <c r="B400" t="s">
        <v>317</v>
      </c>
      <c r="C400" t="s">
        <v>44</v>
      </c>
      <c r="D400" t="s">
        <v>653</v>
      </c>
      <c r="E400" t="s">
        <v>38</v>
      </c>
      <c r="F400" t="s">
        <v>39</v>
      </c>
      <c r="G400">
        <v>17</v>
      </c>
      <c r="H400" t="s">
        <v>52</v>
      </c>
      <c r="I400" t="s">
        <v>319</v>
      </c>
      <c r="J400">
        <v>576231</v>
      </c>
      <c r="K400" t="s">
        <v>77</v>
      </c>
      <c r="L400" s="1">
        <v>42372.977083333331</v>
      </c>
      <c r="M400" s="1">
        <v>42372</v>
      </c>
      <c r="N400" s="3">
        <f>INT(BrightTV_JoinedTablesnw_2026_04_16_23_55_09[[#This Row],[Viewership.RecordDate22]])</f>
        <v>42372</v>
      </c>
      <c r="O400" s="2">
        <v>0.9770833333333333</v>
      </c>
      <c r="P400" t="s">
        <v>91</v>
      </c>
      <c r="Q400">
        <v>576231</v>
      </c>
      <c r="R400" t="s">
        <v>20</v>
      </c>
    </row>
    <row r="401" spans="1:18" x14ac:dyDescent="0.25">
      <c r="A401">
        <v>809035</v>
      </c>
      <c r="B401" t="s">
        <v>654</v>
      </c>
      <c r="C401" t="s">
        <v>66</v>
      </c>
      <c r="D401" t="s">
        <v>655</v>
      </c>
      <c r="E401" t="s">
        <v>38</v>
      </c>
      <c r="F401" t="s">
        <v>106</v>
      </c>
      <c r="G401">
        <v>42</v>
      </c>
      <c r="H401" t="s">
        <v>40</v>
      </c>
      <c r="I401" t="s">
        <v>656</v>
      </c>
      <c r="J401">
        <v>809035</v>
      </c>
      <c r="K401" t="s">
        <v>18</v>
      </c>
      <c r="L401" s="1">
        <v>42422.779861111114</v>
      </c>
      <c r="M401" s="1">
        <v>42422</v>
      </c>
      <c r="N401" s="3">
        <f>INT(BrightTV_JoinedTablesnw_2026_04_16_23_55_09[[#This Row],[Viewership.RecordDate22]])</f>
        <v>42422</v>
      </c>
      <c r="O401" s="2">
        <v>0.77986111111111112</v>
      </c>
      <c r="P401" t="s">
        <v>210</v>
      </c>
      <c r="Q401">
        <v>809035</v>
      </c>
      <c r="R401" t="s">
        <v>20</v>
      </c>
    </row>
    <row r="402" spans="1:18" x14ac:dyDescent="0.25">
      <c r="A402">
        <v>809035</v>
      </c>
      <c r="B402" t="s">
        <v>654</v>
      </c>
      <c r="C402" t="s">
        <v>66</v>
      </c>
      <c r="D402" t="s">
        <v>655</v>
      </c>
      <c r="E402" t="s">
        <v>38</v>
      </c>
      <c r="F402" t="s">
        <v>106</v>
      </c>
      <c r="G402">
        <v>42</v>
      </c>
      <c r="H402" t="s">
        <v>40</v>
      </c>
      <c r="I402" t="s">
        <v>656</v>
      </c>
      <c r="J402">
        <v>809035</v>
      </c>
      <c r="K402" t="s">
        <v>47</v>
      </c>
      <c r="L402" s="1">
        <v>42377.240972222222</v>
      </c>
      <c r="M402" s="1">
        <v>42377</v>
      </c>
      <c r="N402" s="3">
        <f>INT(BrightTV_JoinedTablesnw_2026_04_16_23_55_09[[#This Row],[Viewership.RecordDate22]])</f>
        <v>42377</v>
      </c>
      <c r="O402" s="2">
        <v>0.24097222222222223</v>
      </c>
      <c r="P402" t="s">
        <v>657</v>
      </c>
      <c r="Q402">
        <v>809035</v>
      </c>
      <c r="R402" t="s">
        <v>20</v>
      </c>
    </row>
    <row r="403" spans="1:18" x14ac:dyDescent="0.25">
      <c r="A403">
        <v>809035</v>
      </c>
      <c r="B403" t="s">
        <v>654</v>
      </c>
      <c r="C403" t="s">
        <v>66</v>
      </c>
      <c r="D403" t="s">
        <v>655</v>
      </c>
      <c r="E403" t="s">
        <v>38</v>
      </c>
      <c r="F403" t="s">
        <v>106</v>
      </c>
      <c r="G403">
        <v>42</v>
      </c>
      <c r="H403" t="s">
        <v>40</v>
      </c>
      <c r="I403" t="s">
        <v>656</v>
      </c>
      <c r="J403">
        <v>809035</v>
      </c>
      <c r="K403" t="s">
        <v>54</v>
      </c>
      <c r="L403" s="1">
        <v>42398.906944444447</v>
      </c>
      <c r="M403" s="1">
        <v>42398</v>
      </c>
      <c r="N403" s="3">
        <f>INT(BrightTV_JoinedTablesnw_2026_04_16_23_55_09[[#This Row],[Viewership.RecordDate22]])</f>
        <v>42398</v>
      </c>
      <c r="O403" s="2">
        <v>0.90694444444444444</v>
      </c>
      <c r="P403" t="s">
        <v>209</v>
      </c>
      <c r="Q403">
        <v>809035</v>
      </c>
      <c r="R403" t="s">
        <v>20</v>
      </c>
    </row>
    <row r="404" spans="1:18" x14ac:dyDescent="0.25">
      <c r="A404">
        <v>809035</v>
      </c>
      <c r="B404" t="s">
        <v>654</v>
      </c>
      <c r="C404" t="s">
        <v>66</v>
      </c>
      <c r="D404" t="s">
        <v>655</v>
      </c>
      <c r="E404" t="s">
        <v>38</v>
      </c>
      <c r="F404" t="s">
        <v>106</v>
      </c>
      <c r="G404">
        <v>42</v>
      </c>
      <c r="H404" t="s">
        <v>40</v>
      </c>
      <c r="I404" t="s">
        <v>656</v>
      </c>
      <c r="J404">
        <v>809035</v>
      </c>
      <c r="K404" t="s">
        <v>18</v>
      </c>
      <c r="L404" s="1">
        <v>42432.27847222222</v>
      </c>
      <c r="M404" s="1">
        <v>42432</v>
      </c>
      <c r="N404" s="3">
        <f>INT(BrightTV_JoinedTablesnw_2026_04_16_23_55_09[[#This Row],[Viewership.RecordDate22]])</f>
        <v>42432</v>
      </c>
      <c r="O404" s="2">
        <v>0.27847222222222223</v>
      </c>
      <c r="P404" t="s">
        <v>658</v>
      </c>
      <c r="Q404">
        <v>809035</v>
      </c>
      <c r="R404" t="s">
        <v>20</v>
      </c>
    </row>
    <row r="405" spans="1:18" x14ac:dyDescent="0.25">
      <c r="A405">
        <v>597268</v>
      </c>
      <c r="B405" t="s">
        <v>267</v>
      </c>
      <c r="C405" t="s">
        <v>659</v>
      </c>
      <c r="D405" t="s">
        <v>268</v>
      </c>
      <c r="E405" t="s">
        <v>38</v>
      </c>
      <c r="F405" t="s">
        <v>39</v>
      </c>
      <c r="G405">
        <v>28</v>
      </c>
      <c r="H405" t="s">
        <v>26</v>
      </c>
      <c r="I405" t="s">
        <v>269</v>
      </c>
      <c r="J405">
        <v>597268</v>
      </c>
      <c r="K405" t="s">
        <v>77</v>
      </c>
      <c r="L405" s="1">
        <v>42375.352777777778</v>
      </c>
      <c r="M405" s="1">
        <v>42375</v>
      </c>
      <c r="N405" s="3">
        <f>INT(BrightTV_JoinedTablesnw_2026_04_16_23_55_09[[#This Row],[Viewership.RecordDate22]])</f>
        <v>42375</v>
      </c>
      <c r="O405" s="2">
        <v>0.3527777777777778</v>
      </c>
      <c r="P405" t="s">
        <v>660</v>
      </c>
      <c r="Q405">
        <v>597268</v>
      </c>
      <c r="R405" t="s">
        <v>20</v>
      </c>
    </row>
    <row r="406" spans="1:18" x14ac:dyDescent="0.25">
      <c r="A406">
        <v>597268</v>
      </c>
      <c r="B406" t="s">
        <v>267</v>
      </c>
      <c r="C406" t="s">
        <v>659</v>
      </c>
      <c r="D406" t="s">
        <v>268</v>
      </c>
      <c r="E406" t="s">
        <v>38</v>
      </c>
      <c r="F406" t="s">
        <v>39</v>
      </c>
      <c r="G406">
        <v>28</v>
      </c>
      <c r="H406" t="s">
        <v>26</v>
      </c>
      <c r="I406" t="s">
        <v>269</v>
      </c>
      <c r="J406">
        <v>597268</v>
      </c>
      <c r="K406" t="s">
        <v>54</v>
      </c>
      <c r="L406" s="1">
        <v>42377.613888888889</v>
      </c>
      <c r="M406" s="1">
        <v>42377</v>
      </c>
      <c r="N406" s="3">
        <f>INT(BrightTV_JoinedTablesnw_2026_04_16_23_55_09[[#This Row],[Viewership.RecordDate22]])</f>
        <v>42377</v>
      </c>
      <c r="O406" s="2">
        <v>0.61388888888888893</v>
      </c>
      <c r="P406" t="s">
        <v>56</v>
      </c>
      <c r="Q406">
        <v>597268</v>
      </c>
      <c r="R406" t="s">
        <v>20</v>
      </c>
    </row>
    <row r="407" spans="1:18" x14ac:dyDescent="0.25">
      <c r="A407">
        <v>597268</v>
      </c>
      <c r="B407" t="s">
        <v>267</v>
      </c>
      <c r="C407" t="s">
        <v>659</v>
      </c>
      <c r="D407" t="s">
        <v>268</v>
      </c>
      <c r="E407" t="s">
        <v>38</v>
      </c>
      <c r="F407" t="s">
        <v>39</v>
      </c>
      <c r="G407">
        <v>28</v>
      </c>
      <c r="H407" t="s">
        <v>26</v>
      </c>
      <c r="I407" t="s">
        <v>269</v>
      </c>
      <c r="J407">
        <v>597268</v>
      </c>
      <c r="K407" t="s">
        <v>32</v>
      </c>
      <c r="L407" s="1">
        <v>42375.439583333333</v>
      </c>
      <c r="M407" s="1">
        <v>42375</v>
      </c>
      <c r="N407" s="3">
        <f>INT(BrightTV_JoinedTablesnw_2026_04_16_23_55_09[[#This Row],[Viewership.RecordDate22]])</f>
        <v>42375</v>
      </c>
      <c r="O407" s="2">
        <v>0.43958333333333333</v>
      </c>
      <c r="P407" t="s">
        <v>211</v>
      </c>
      <c r="Q407">
        <v>597268</v>
      </c>
      <c r="R407" t="s">
        <v>20</v>
      </c>
    </row>
    <row r="408" spans="1:18" x14ac:dyDescent="0.25">
      <c r="A408">
        <v>597268</v>
      </c>
      <c r="B408" t="s">
        <v>267</v>
      </c>
      <c r="C408" t="s">
        <v>659</v>
      </c>
      <c r="D408" t="s">
        <v>268</v>
      </c>
      <c r="E408" t="s">
        <v>38</v>
      </c>
      <c r="F408" t="s">
        <v>39</v>
      </c>
      <c r="G408">
        <v>28</v>
      </c>
      <c r="H408" t="s">
        <v>26</v>
      </c>
      <c r="I408" t="s">
        <v>269</v>
      </c>
      <c r="J408">
        <v>597268</v>
      </c>
      <c r="K408" t="s">
        <v>32</v>
      </c>
      <c r="L408" s="1">
        <v>42377.615277777775</v>
      </c>
      <c r="M408" s="1">
        <v>42377</v>
      </c>
      <c r="N408" s="3">
        <f>INT(BrightTV_JoinedTablesnw_2026_04_16_23_55_09[[#This Row],[Viewership.RecordDate22]])</f>
        <v>42377</v>
      </c>
      <c r="O408" s="2">
        <v>0.61527777777777781</v>
      </c>
      <c r="P408" t="s">
        <v>616</v>
      </c>
      <c r="Q408">
        <v>597268</v>
      </c>
      <c r="R408" t="s">
        <v>20</v>
      </c>
    </row>
    <row r="409" spans="1:18" x14ac:dyDescent="0.25">
      <c r="A409">
        <v>597268</v>
      </c>
      <c r="B409" t="s">
        <v>267</v>
      </c>
      <c r="C409" t="s">
        <v>659</v>
      </c>
      <c r="D409" t="s">
        <v>268</v>
      </c>
      <c r="E409" t="s">
        <v>38</v>
      </c>
      <c r="F409" t="s">
        <v>39</v>
      </c>
      <c r="G409">
        <v>28</v>
      </c>
      <c r="H409" t="s">
        <v>26</v>
      </c>
      <c r="I409" t="s">
        <v>269</v>
      </c>
      <c r="J409">
        <v>597268</v>
      </c>
      <c r="K409" t="s">
        <v>186</v>
      </c>
      <c r="L409" s="1">
        <v>42377.874305555553</v>
      </c>
      <c r="M409" s="1">
        <v>42377</v>
      </c>
      <c r="N409" s="3">
        <f>INT(BrightTV_JoinedTablesnw_2026_04_16_23_55_09[[#This Row],[Viewership.RecordDate22]])</f>
        <v>42377</v>
      </c>
      <c r="O409" s="2">
        <v>0.87430555555555556</v>
      </c>
      <c r="P409" t="s">
        <v>661</v>
      </c>
      <c r="Q409">
        <v>597268</v>
      </c>
      <c r="R409" t="s">
        <v>20</v>
      </c>
    </row>
    <row r="410" spans="1:18" x14ac:dyDescent="0.25">
      <c r="A410">
        <v>597268</v>
      </c>
      <c r="B410" t="s">
        <v>267</v>
      </c>
      <c r="C410" t="s">
        <v>659</v>
      </c>
      <c r="D410" t="s">
        <v>268</v>
      </c>
      <c r="E410" t="s">
        <v>38</v>
      </c>
      <c r="F410" t="s">
        <v>39</v>
      </c>
      <c r="G410">
        <v>28</v>
      </c>
      <c r="H410" t="s">
        <v>26</v>
      </c>
      <c r="I410" t="s">
        <v>269</v>
      </c>
      <c r="J410">
        <v>597268</v>
      </c>
      <c r="K410" t="s">
        <v>32</v>
      </c>
      <c r="L410" s="1">
        <v>42379.709722222222</v>
      </c>
      <c r="M410" s="1">
        <v>42379</v>
      </c>
      <c r="N410" s="3">
        <f>INT(BrightTV_JoinedTablesnw_2026_04_16_23_55_09[[#This Row],[Viewership.RecordDate22]])</f>
        <v>42379</v>
      </c>
      <c r="O410" s="2">
        <v>0.70972222222222225</v>
      </c>
      <c r="P410" t="s">
        <v>662</v>
      </c>
      <c r="Q410">
        <v>597268</v>
      </c>
      <c r="R410" t="s">
        <v>20</v>
      </c>
    </row>
    <row r="411" spans="1:18" x14ac:dyDescent="0.25">
      <c r="A411">
        <v>597268</v>
      </c>
      <c r="B411" t="s">
        <v>267</v>
      </c>
      <c r="C411" t="s">
        <v>659</v>
      </c>
      <c r="D411" t="s">
        <v>268</v>
      </c>
      <c r="E411" t="s">
        <v>38</v>
      </c>
      <c r="F411" t="s">
        <v>39</v>
      </c>
      <c r="G411">
        <v>28</v>
      </c>
      <c r="H411" t="s">
        <v>26</v>
      </c>
      <c r="I411" t="s">
        <v>269</v>
      </c>
      <c r="J411">
        <v>597268</v>
      </c>
      <c r="K411" t="s">
        <v>77</v>
      </c>
      <c r="L411" s="1">
        <v>42374.925694444442</v>
      </c>
      <c r="M411" s="1">
        <v>42374</v>
      </c>
      <c r="N411" s="3">
        <f>INT(BrightTV_JoinedTablesnw_2026_04_16_23_55_09[[#This Row],[Viewership.RecordDate22]])</f>
        <v>42374</v>
      </c>
      <c r="O411" s="2">
        <v>0.92569444444444449</v>
      </c>
      <c r="P411" t="s">
        <v>663</v>
      </c>
      <c r="Q411">
        <v>597268</v>
      </c>
      <c r="R411" t="s">
        <v>20</v>
      </c>
    </row>
    <row r="412" spans="1:18" x14ac:dyDescent="0.25">
      <c r="A412">
        <v>597268</v>
      </c>
      <c r="B412" t="s">
        <v>267</v>
      </c>
      <c r="C412" t="s">
        <v>659</v>
      </c>
      <c r="D412" t="s">
        <v>268</v>
      </c>
      <c r="E412" t="s">
        <v>38</v>
      </c>
      <c r="F412" t="s">
        <v>39</v>
      </c>
      <c r="G412">
        <v>28</v>
      </c>
      <c r="H412" t="s">
        <v>26</v>
      </c>
      <c r="I412" t="s">
        <v>269</v>
      </c>
      <c r="J412">
        <v>597268</v>
      </c>
      <c r="K412" t="s">
        <v>47</v>
      </c>
      <c r="L412" s="1">
        <v>42377.393055555556</v>
      </c>
      <c r="M412" s="1">
        <v>42377</v>
      </c>
      <c r="N412" s="3">
        <f>INT(BrightTV_JoinedTablesnw_2026_04_16_23_55_09[[#This Row],[Viewership.RecordDate22]])</f>
        <v>42377</v>
      </c>
      <c r="O412" s="2">
        <v>0.39305555555555555</v>
      </c>
      <c r="P412" t="s">
        <v>56</v>
      </c>
      <c r="Q412">
        <v>597268</v>
      </c>
      <c r="R412" t="s">
        <v>20</v>
      </c>
    </row>
    <row r="413" spans="1:18" x14ac:dyDescent="0.25">
      <c r="A413">
        <v>585562</v>
      </c>
      <c r="B413" t="s">
        <v>664</v>
      </c>
      <c r="C413" t="s">
        <v>116</v>
      </c>
      <c r="D413" t="s">
        <v>665</v>
      </c>
      <c r="E413" t="s">
        <v>24</v>
      </c>
      <c r="F413" t="s">
        <v>16</v>
      </c>
      <c r="G413">
        <v>38</v>
      </c>
      <c r="H413" t="s">
        <v>173</v>
      </c>
      <c r="I413" t="s">
        <v>666</v>
      </c>
      <c r="J413">
        <v>585562</v>
      </c>
      <c r="K413" t="s">
        <v>62</v>
      </c>
      <c r="L413" s="1">
        <v>42373.919444444444</v>
      </c>
      <c r="M413" s="1">
        <v>42373</v>
      </c>
      <c r="N413" s="3">
        <f>INT(BrightTV_JoinedTablesnw_2026_04_16_23_55_09[[#This Row],[Viewership.RecordDate22]])</f>
        <v>42373</v>
      </c>
      <c r="O413" s="2">
        <v>0.9194444444444444</v>
      </c>
      <c r="P413" t="s">
        <v>64</v>
      </c>
      <c r="Q413">
        <v>585562</v>
      </c>
      <c r="R413" t="s">
        <v>20</v>
      </c>
    </row>
    <row r="414" spans="1:18" x14ac:dyDescent="0.25">
      <c r="A414">
        <v>585562</v>
      </c>
      <c r="B414" t="s">
        <v>664</v>
      </c>
      <c r="C414" t="s">
        <v>116</v>
      </c>
      <c r="D414" t="s">
        <v>665</v>
      </c>
      <c r="E414" t="s">
        <v>24</v>
      </c>
      <c r="F414" t="s">
        <v>16</v>
      </c>
      <c r="G414">
        <v>38</v>
      </c>
      <c r="H414" t="s">
        <v>173</v>
      </c>
      <c r="I414" t="s">
        <v>666</v>
      </c>
      <c r="J414">
        <v>585562</v>
      </c>
      <c r="K414" t="s">
        <v>84</v>
      </c>
      <c r="L414" s="1">
        <v>42373.736111111109</v>
      </c>
      <c r="M414" s="1">
        <v>42373</v>
      </c>
      <c r="N414" s="3">
        <f>INT(BrightTV_JoinedTablesnw_2026_04_16_23_55_09[[#This Row],[Viewership.RecordDate22]])</f>
        <v>42373</v>
      </c>
      <c r="O414" s="2">
        <v>0.73611111111111116</v>
      </c>
      <c r="P414" t="s">
        <v>667</v>
      </c>
      <c r="Q414">
        <v>585562</v>
      </c>
      <c r="R414" t="s">
        <v>20</v>
      </c>
    </row>
    <row r="415" spans="1:18" x14ac:dyDescent="0.25">
      <c r="A415">
        <v>585831</v>
      </c>
      <c r="B415" t="s">
        <v>638</v>
      </c>
      <c r="C415" t="s">
        <v>123</v>
      </c>
      <c r="D415" t="s">
        <v>668</v>
      </c>
      <c r="E415" t="s">
        <v>24</v>
      </c>
      <c r="F415" t="s">
        <v>25</v>
      </c>
      <c r="G415">
        <v>33</v>
      </c>
      <c r="H415" t="s">
        <v>40</v>
      </c>
      <c r="I415" t="s">
        <v>669</v>
      </c>
      <c r="J415">
        <v>585831</v>
      </c>
      <c r="K415" t="s">
        <v>30</v>
      </c>
      <c r="L415" s="1">
        <v>42371.488194444442</v>
      </c>
      <c r="M415" s="1">
        <v>42371</v>
      </c>
      <c r="N415" s="3">
        <f>INT(BrightTV_JoinedTablesnw_2026_04_16_23_55_09[[#This Row],[Viewership.RecordDate22]])</f>
        <v>42371</v>
      </c>
      <c r="O415" s="2">
        <v>0.48819444444444443</v>
      </c>
      <c r="P415" t="s">
        <v>670</v>
      </c>
      <c r="Q415">
        <v>585831</v>
      </c>
      <c r="R415" t="s">
        <v>20</v>
      </c>
    </row>
    <row r="416" spans="1:18" x14ac:dyDescent="0.25">
      <c r="A416">
        <v>788744</v>
      </c>
      <c r="B416" t="s">
        <v>671</v>
      </c>
      <c r="C416" t="s">
        <v>407</v>
      </c>
      <c r="D416" t="s">
        <v>672</v>
      </c>
      <c r="E416" t="s">
        <v>38</v>
      </c>
      <c r="F416" t="s">
        <v>96</v>
      </c>
      <c r="G416">
        <v>23</v>
      </c>
      <c r="H416" t="s">
        <v>60</v>
      </c>
      <c r="I416" t="s">
        <v>673</v>
      </c>
      <c r="J416">
        <v>788744</v>
      </c>
      <c r="K416" t="s">
        <v>54</v>
      </c>
      <c r="L416" s="1">
        <v>42384.04791666667</v>
      </c>
      <c r="M416" s="1">
        <v>42384</v>
      </c>
      <c r="N416" s="3">
        <f>INT(BrightTV_JoinedTablesnw_2026_04_16_23_55_09[[#This Row],[Viewership.RecordDate22]])</f>
        <v>42384</v>
      </c>
      <c r="O416" s="2">
        <v>4.791666666666667E-2</v>
      </c>
      <c r="P416" t="s">
        <v>674</v>
      </c>
      <c r="Q416">
        <v>788744</v>
      </c>
      <c r="R416" t="s">
        <v>20</v>
      </c>
    </row>
    <row r="417" spans="1:18" x14ac:dyDescent="0.25">
      <c r="A417">
        <v>788744</v>
      </c>
      <c r="B417" t="s">
        <v>671</v>
      </c>
      <c r="C417" t="s">
        <v>407</v>
      </c>
      <c r="D417" t="s">
        <v>672</v>
      </c>
      <c r="E417" t="s">
        <v>38</v>
      </c>
      <c r="F417" t="s">
        <v>96</v>
      </c>
      <c r="G417">
        <v>23</v>
      </c>
      <c r="H417" t="s">
        <v>60</v>
      </c>
      <c r="I417" t="s">
        <v>673</v>
      </c>
      <c r="J417">
        <v>788744</v>
      </c>
      <c r="K417" t="s">
        <v>47</v>
      </c>
      <c r="L417" s="1">
        <v>42387.482638888891</v>
      </c>
      <c r="M417" s="1">
        <v>42387</v>
      </c>
      <c r="N417" s="3">
        <f>INT(BrightTV_JoinedTablesnw_2026_04_16_23_55_09[[#This Row],[Viewership.RecordDate22]])</f>
        <v>42387</v>
      </c>
      <c r="O417" s="2">
        <v>0.4826388888888889</v>
      </c>
      <c r="P417" t="s">
        <v>667</v>
      </c>
      <c r="Q417">
        <v>788744</v>
      </c>
      <c r="R417" t="s">
        <v>20</v>
      </c>
    </row>
    <row r="418" spans="1:18" x14ac:dyDescent="0.25">
      <c r="A418">
        <v>771902</v>
      </c>
      <c r="B418" t="s">
        <v>385</v>
      </c>
      <c r="C418" t="s">
        <v>166</v>
      </c>
      <c r="D418" t="s">
        <v>419</v>
      </c>
      <c r="E418" t="s">
        <v>38</v>
      </c>
      <c r="F418" t="s">
        <v>39</v>
      </c>
      <c r="G418">
        <v>24</v>
      </c>
      <c r="H418" t="s">
        <v>40</v>
      </c>
      <c r="I418" t="s">
        <v>387</v>
      </c>
      <c r="J418">
        <v>771902</v>
      </c>
      <c r="K418" t="s">
        <v>129</v>
      </c>
      <c r="L418" s="1">
        <v>42384.857638888891</v>
      </c>
      <c r="M418" s="1">
        <v>42384</v>
      </c>
      <c r="N418" s="3">
        <f>INT(BrightTV_JoinedTablesnw_2026_04_16_23_55_09[[#This Row],[Viewership.RecordDate22]])</f>
        <v>42384</v>
      </c>
      <c r="O418" s="2">
        <v>0.85763888888888884</v>
      </c>
      <c r="P418" t="s">
        <v>675</v>
      </c>
      <c r="Q418">
        <v>771902</v>
      </c>
      <c r="R418" t="s">
        <v>20</v>
      </c>
    </row>
    <row r="419" spans="1:18" x14ac:dyDescent="0.25">
      <c r="A419">
        <v>771903</v>
      </c>
      <c r="B419" t="s">
        <v>676</v>
      </c>
      <c r="C419" t="s">
        <v>238</v>
      </c>
      <c r="D419" t="s">
        <v>677</v>
      </c>
      <c r="E419" t="s">
        <v>38</v>
      </c>
      <c r="F419" t="s">
        <v>16</v>
      </c>
      <c r="G419">
        <v>28</v>
      </c>
      <c r="H419" t="s">
        <v>40</v>
      </c>
      <c r="I419" t="s">
        <v>678</v>
      </c>
      <c r="J419">
        <v>771903</v>
      </c>
      <c r="K419" t="s">
        <v>47</v>
      </c>
      <c r="L419" s="1">
        <v>42456.716666666667</v>
      </c>
      <c r="M419" s="1">
        <v>42456</v>
      </c>
      <c r="N419" s="3">
        <f>INT(BrightTV_JoinedTablesnw_2026_04_16_23_55_09[[#This Row],[Viewership.RecordDate22]])</f>
        <v>42456</v>
      </c>
      <c r="O419" s="2">
        <v>0.71666666666666667</v>
      </c>
      <c r="P419" t="s">
        <v>679</v>
      </c>
      <c r="Q419">
        <v>771903</v>
      </c>
      <c r="R419" t="s">
        <v>20</v>
      </c>
    </row>
    <row r="420" spans="1:18" x14ac:dyDescent="0.25">
      <c r="A420">
        <v>747690</v>
      </c>
      <c r="B420" t="s">
        <v>680</v>
      </c>
      <c r="C420" t="s">
        <v>681</v>
      </c>
      <c r="D420" t="s">
        <v>682</v>
      </c>
      <c r="E420" t="s">
        <v>24</v>
      </c>
      <c r="F420" t="s">
        <v>39</v>
      </c>
      <c r="G420">
        <v>29</v>
      </c>
      <c r="H420" t="s">
        <v>40</v>
      </c>
      <c r="I420" t="s">
        <v>683</v>
      </c>
      <c r="J420">
        <v>747690</v>
      </c>
      <c r="K420" t="s">
        <v>77</v>
      </c>
      <c r="L420" s="1">
        <v>42385.867361111108</v>
      </c>
      <c r="M420" s="1">
        <v>42385</v>
      </c>
      <c r="N420" s="3">
        <f>INT(BrightTV_JoinedTablesnw_2026_04_16_23_55_09[[#This Row],[Viewership.RecordDate22]])</f>
        <v>42385</v>
      </c>
      <c r="O420" s="2">
        <v>0.86736111111111114</v>
      </c>
      <c r="P420" t="s">
        <v>121</v>
      </c>
      <c r="Q420">
        <v>747690</v>
      </c>
      <c r="R420" t="s">
        <v>20</v>
      </c>
    </row>
    <row r="421" spans="1:18" x14ac:dyDescent="0.25">
      <c r="A421">
        <v>779485</v>
      </c>
      <c r="B421" t="s">
        <v>43</v>
      </c>
      <c r="C421" t="s">
        <v>22</v>
      </c>
      <c r="D421" t="s">
        <v>684</v>
      </c>
      <c r="E421" t="s">
        <v>38</v>
      </c>
      <c r="F421" t="s">
        <v>39</v>
      </c>
      <c r="G421">
        <v>25</v>
      </c>
      <c r="H421" t="s">
        <v>280</v>
      </c>
      <c r="I421" t="s">
        <v>46</v>
      </c>
      <c r="J421">
        <v>779485</v>
      </c>
      <c r="K421" t="s">
        <v>30</v>
      </c>
      <c r="L421" s="1">
        <v>42402.474305555559</v>
      </c>
      <c r="M421" s="1">
        <v>42402</v>
      </c>
      <c r="N421" s="3">
        <f>INT(BrightTV_JoinedTablesnw_2026_04_16_23_55_09[[#This Row],[Viewership.RecordDate22]])</f>
        <v>42402</v>
      </c>
      <c r="O421" s="2">
        <v>0.47430555555555554</v>
      </c>
      <c r="P421" t="s">
        <v>685</v>
      </c>
      <c r="Q421">
        <v>779485</v>
      </c>
      <c r="R421" t="s">
        <v>20</v>
      </c>
    </row>
    <row r="422" spans="1:18" x14ac:dyDescent="0.25">
      <c r="A422">
        <v>779485</v>
      </c>
      <c r="B422" t="s">
        <v>43</v>
      </c>
      <c r="C422" t="s">
        <v>22</v>
      </c>
      <c r="D422" t="s">
        <v>684</v>
      </c>
      <c r="E422" t="s">
        <v>38</v>
      </c>
      <c r="F422" t="s">
        <v>39</v>
      </c>
      <c r="G422">
        <v>25</v>
      </c>
      <c r="H422" t="s">
        <v>280</v>
      </c>
      <c r="I422" t="s">
        <v>46</v>
      </c>
      <c r="J422">
        <v>779485</v>
      </c>
      <c r="K422" t="s">
        <v>77</v>
      </c>
      <c r="L422" s="1">
        <v>42402.722222222219</v>
      </c>
      <c r="M422" s="1">
        <v>42402</v>
      </c>
      <c r="N422" s="3">
        <f>INT(BrightTV_JoinedTablesnw_2026_04_16_23_55_09[[#This Row],[Viewership.RecordDate22]])</f>
        <v>42402</v>
      </c>
      <c r="O422" s="2">
        <v>0.72222222222222221</v>
      </c>
      <c r="P422" t="s">
        <v>686</v>
      </c>
      <c r="Q422">
        <v>779485</v>
      </c>
      <c r="R422" t="s">
        <v>20</v>
      </c>
    </row>
    <row r="423" spans="1:18" x14ac:dyDescent="0.25">
      <c r="A423">
        <v>779485</v>
      </c>
      <c r="B423" t="s">
        <v>43</v>
      </c>
      <c r="C423" t="s">
        <v>22</v>
      </c>
      <c r="D423" t="s">
        <v>684</v>
      </c>
      <c r="E423" t="s">
        <v>38</v>
      </c>
      <c r="F423" t="s">
        <v>39</v>
      </c>
      <c r="G423">
        <v>25</v>
      </c>
      <c r="H423" t="s">
        <v>280</v>
      </c>
      <c r="I423" t="s">
        <v>46</v>
      </c>
      <c r="J423">
        <v>779485</v>
      </c>
      <c r="K423" t="s">
        <v>152</v>
      </c>
      <c r="L423" s="1">
        <v>42404.982638888891</v>
      </c>
      <c r="M423" s="1">
        <v>42404</v>
      </c>
      <c r="N423" s="3">
        <f>INT(BrightTV_JoinedTablesnw_2026_04_16_23_55_09[[#This Row],[Viewership.RecordDate22]])</f>
        <v>42404</v>
      </c>
      <c r="O423" s="2">
        <v>0.98263888888888884</v>
      </c>
      <c r="P423" t="s">
        <v>216</v>
      </c>
      <c r="Q423">
        <v>779485</v>
      </c>
      <c r="R423" t="s">
        <v>20</v>
      </c>
    </row>
    <row r="424" spans="1:18" x14ac:dyDescent="0.25">
      <c r="A424">
        <v>779485</v>
      </c>
      <c r="B424" t="s">
        <v>43</v>
      </c>
      <c r="C424" t="s">
        <v>22</v>
      </c>
      <c r="D424" t="s">
        <v>684</v>
      </c>
      <c r="E424" t="s">
        <v>38</v>
      </c>
      <c r="F424" t="s">
        <v>39</v>
      </c>
      <c r="G424">
        <v>25</v>
      </c>
      <c r="H424" t="s">
        <v>280</v>
      </c>
      <c r="I424" t="s">
        <v>46</v>
      </c>
      <c r="J424">
        <v>779485</v>
      </c>
      <c r="K424" t="s">
        <v>30</v>
      </c>
      <c r="L424" s="1">
        <v>42375.481944444444</v>
      </c>
      <c r="M424" s="1">
        <v>42375</v>
      </c>
      <c r="N424" s="3">
        <f>INT(BrightTV_JoinedTablesnw_2026_04_16_23_55_09[[#This Row],[Viewership.RecordDate22]])</f>
        <v>42375</v>
      </c>
      <c r="O424" s="2">
        <v>0.48194444444444445</v>
      </c>
      <c r="P424" t="s">
        <v>487</v>
      </c>
      <c r="Q424">
        <v>779485</v>
      </c>
      <c r="R424" t="s">
        <v>20</v>
      </c>
    </row>
    <row r="425" spans="1:18" x14ac:dyDescent="0.25">
      <c r="A425">
        <v>779485</v>
      </c>
      <c r="B425" t="s">
        <v>43</v>
      </c>
      <c r="C425" t="s">
        <v>22</v>
      </c>
      <c r="D425" t="s">
        <v>684</v>
      </c>
      <c r="E425" t="s">
        <v>38</v>
      </c>
      <c r="F425" t="s">
        <v>39</v>
      </c>
      <c r="G425">
        <v>25</v>
      </c>
      <c r="H425" t="s">
        <v>280</v>
      </c>
      <c r="I425" t="s">
        <v>46</v>
      </c>
      <c r="J425">
        <v>779485</v>
      </c>
      <c r="K425" t="s">
        <v>32</v>
      </c>
      <c r="L425" s="1">
        <v>42371.365277777775</v>
      </c>
      <c r="M425" s="1">
        <v>42371</v>
      </c>
      <c r="N425" s="3">
        <f>INT(BrightTV_JoinedTablesnw_2026_04_16_23_55_09[[#This Row],[Viewership.RecordDate22]])</f>
        <v>42371</v>
      </c>
      <c r="O425" s="2">
        <v>0.36527777777777776</v>
      </c>
      <c r="P425" t="s">
        <v>616</v>
      </c>
      <c r="Q425">
        <v>779485</v>
      </c>
      <c r="R425" t="s">
        <v>20</v>
      </c>
    </row>
    <row r="426" spans="1:18" x14ac:dyDescent="0.25">
      <c r="A426">
        <v>779485</v>
      </c>
      <c r="B426" t="s">
        <v>43</v>
      </c>
      <c r="C426" t="s">
        <v>22</v>
      </c>
      <c r="D426" t="s">
        <v>684</v>
      </c>
      <c r="E426" t="s">
        <v>38</v>
      </c>
      <c r="F426" t="s">
        <v>39</v>
      </c>
      <c r="G426">
        <v>25</v>
      </c>
      <c r="H426" t="s">
        <v>280</v>
      </c>
      <c r="I426" t="s">
        <v>46</v>
      </c>
      <c r="J426">
        <v>779485</v>
      </c>
      <c r="K426" t="s">
        <v>32</v>
      </c>
      <c r="L426" s="1">
        <v>42399.526388888888</v>
      </c>
      <c r="M426" s="1">
        <v>42399</v>
      </c>
      <c r="N426" s="3">
        <f>INT(BrightTV_JoinedTablesnw_2026_04_16_23_55_09[[#This Row],[Viewership.RecordDate22]])</f>
        <v>42399</v>
      </c>
      <c r="O426" s="2">
        <v>0.52638888888888891</v>
      </c>
      <c r="P426" t="s">
        <v>687</v>
      </c>
      <c r="Q426">
        <v>779485</v>
      </c>
      <c r="R426" t="s">
        <v>20</v>
      </c>
    </row>
    <row r="427" spans="1:18" x14ac:dyDescent="0.25">
      <c r="A427">
        <v>779485</v>
      </c>
      <c r="B427" t="s">
        <v>43</v>
      </c>
      <c r="C427" t="s">
        <v>22</v>
      </c>
      <c r="D427" t="s">
        <v>684</v>
      </c>
      <c r="E427" t="s">
        <v>38</v>
      </c>
      <c r="F427" t="s">
        <v>39</v>
      </c>
      <c r="G427">
        <v>25</v>
      </c>
      <c r="H427" t="s">
        <v>280</v>
      </c>
      <c r="I427" t="s">
        <v>46</v>
      </c>
      <c r="J427">
        <v>779485</v>
      </c>
      <c r="K427" t="s">
        <v>54</v>
      </c>
      <c r="L427" s="1">
        <v>42398.561805555553</v>
      </c>
      <c r="M427" s="1">
        <v>42398</v>
      </c>
      <c r="N427" s="3">
        <f>INT(BrightTV_JoinedTablesnw_2026_04_16_23_55_09[[#This Row],[Viewership.RecordDate22]])</f>
        <v>42398</v>
      </c>
      <c r="O427" s="2">
        <v>0.56180555555555556</v>
      </c>
      <c r="P427" t="s">
        <v>688</v>
      </c>
      <c r="Q427">
        <v>779485</v>
      </c>
      <c r="R427" t="s">
        <v>20</v>
      </c>
    </row>
    <row r="428" spans="1:18" x14ac:dyDescent="0.25">
      <c r="A428">
        <v>592732</v>
      </c>
      <c r="B428" t="s">
        <v>122</v>
      </c>
      <c r="C428" t="s">
        <v>593</v>
      </c>
      <c r="D428" t="s">
        <v>435</v>
      </c>
      <c r="E428" t="s">
        <v>38</v>
      </c>
      <c r="F428" t="s">
        <v>39</v>
      </c>
      <c r="G428">
        <v>45</v>
      </c>
      <c r="H428" t="s">
        <v>138</v>
      </c>
      <c r="I428" t="s">
        <v>125</v>
      </c>
      <c r="J428">
        <v>592732</v>
      </c>
      <c r="K428" t="s">
        <v>129</v>
      </c>
      <c r="L428" s="1">
        <v>42382.294444444444</v>
      </c>
      <c r="M428" s="1">
        <v>42382</v>
      </c>
      <c r="N428" s="3">
        <f>INT(BrightTV_JoinedTablesnw_2026_04_16_23_55_09[[#This Row],[Viewership.RecordDate22]])</f>
        <v>42382</v>
      </c>
      <c r="O428" s="2">
        <v>0.29444444444444445</v>
      </c>
      <c r="P428" t="s">
        <v>689</v>
      </c>
      <c r="Q428">
        <v>592732</v>
      </c>
      <c r="R428" t="s">
        <v>20</v>
      </c>
    </row>
    <row r="429" spans="1:18" x14ac:dyDescent="0.25">
      <c r="A429">
        <v>736517</v>
      </c>
      <c r="B429" t="s">
        <v>35</v>
      </c>
      <c r="C429" t="s">
        <v>22</v>
      </c>
      <c r="D429" t="s">
        <v>277</v>
      </c>
      <c r="E429" t="s">
        <v>38</v>
      </c>
      <c r="F429" t="s">
        <v>39</v>
      </c>
      <c r="G429">
        <v>39</v>
      </c>
      <c r="H429" t="s">
        <v>75</v>
      </c>
      <c r="I429" t="s">
        <v>41</v>
      </c>
      <c r="J429">
        <v>736517</v>
      </c>
      <c r="K429" t="s">
        <v>129</v>
      </c>
      <c r="L429" s="1">
        <v>42393.50277777778</v>
      </c>
      <c r="M429" s="1">
        <v>42393</v>
      </c>
      <c r="N429" s="3">
        <f>INT(BrightTV_JoinedTablesnw_2026_04_16_23_55_09[[#This Row],[Viewership.RecordDate22]])</f>
        <v>42393</v>
      </c>
      <c r="O429" s="2">
        <v>0.50277777777777777</v>
      </c>
      <c r="P429" t="s">
        <v>64</v>
      </c>
      <c r="Q429">
        <v>736517</v>
      </c>
      <c r="R429" t="s">
        <v>20</v>
      </c>
    </row>
    <row r="430" spans="1:18" x14ac:dyDescent="0.25">
      <c r="A430">
        <v>736517</v>
      </c>
      <c r="B430" t="s">
        <v>35</v>
      </c>
      <c r="C430" t="s">
        <v>22</v>
      </c>
      <c r="D430" t="s">
        <v>277</v>
      </c>
      <c r="E430" t="s">
        <v>38</v>
      </c>
      <c r="F430" t="s">
        <v>39</v>
      </c>
      <c r="G430">
        <v>39</v>
      </c>
      <c r="H430" t="s">
        <v>75</v>
      </c>
      <c r="I430" t="s">
        <v>41</v>
      </c>
      <c r="J430">
        <v>736517</v>
      </c>
      <c r="K430" t="s">
        <v>129</v>
      </c>
      <c r="L430" s="1">
        <v>42393.427083333336</v>
      </c>
      <c r="M430" s="1">
        <v>42393</v>
      </c>
      <c r="N430" s="3">
        <f>INT(BrightTV_JoinedTablesnw_2026_04_16_23_55_09[[#This Row],[Viewership.RecordDate22]])</f>
        <v>42393</v>
      </c>
      <c r="O430" s="2">
        <v>0.42708333333333331</v>
      </c>
      <c r="P430" t="s">
        <v>690</v>
      </c>
      <c r="Q430">
        <v>736517</v>
      </c>
      <c r="R430" t="s">
        <v>20</v>
      </c>
    </row>
    <row r="431" spans="1:18" x14ac:dyDescent="0.25">
      <c r="A431">
        <v>779486</v>
      </c>
      <c r="B431" t="s">
        <v>237</v>
      </c>
      <c r="C431" t="s">
        <v>58</v>
      </c>
      <c r="D431" t="s">
        <v>239</v>
      </c>
      <c r="E431" t="s">
        <v>38</v>
      </c>
      <c r="F431" t="s">
        <v>39</v>
      </c>
      <c r="G431">
        <v>36</v>
      </c>
      <c r="H431" t="s">
        <v>40</v>
      </c>
      <c r="I431" t="s">
        <v>240</v>
      </c>
      <c r="J431">
        <v>779486</v>
      </c>
      <c r="K431" t="s">
        <v>54</v>
      </c>
      <c r="L431" s="1">
        <v>42378.227777777778</v>
      </c>
      <c r="M431" s="1">
        <v>42378</v>
      </c>
      <c r="N431" s="3">
        <f>INT(BrightTV_JoinedTablesnw_2026_04_16_23_55_09[[#This Row],[Viewership.RecordDate22]])</f>
        <v>42378</v>
      </c>
      <c r="O431" s="2">
        <v>0.22777777777777777</v>
      </c>
      <c r="P431" t="s">
        <v>481</v>
      </c>
      <c r="Q431">
        <v>779486</v>
      </c>
      <c r="R431" t="s">
        <v>20</v>
      </c>
    </row>
    <row r="432" spans="1:18" x14ac:dyDescent="0.25">
      <c r="A432">
        <v>764429</v>
      </c>
      <c r="B432" t="s">
        <v>249</v>
      </c>
      <c r="C432" t="s">
        <v>104</v>
      </c>
      <c r="D432" t="s">
        <v>691</v>
      </c>
      <c r="E432" t="s">
        <v>38</v>
      </c>
      <c r="F432" t="s">
        <v>25</v>
      </c>
      <c r="G432">
        <v>22</v>
      </c>
      <c r="H432" t="s">
        <v>60</v>
      </c>
      <c r="I432" t="s">
        <v>253</v>
      </c>
      <c r="J432">
        <v>764429</v>
      </c>
      <c r="K432" t="s">
        <v>77</v>
      </c>
      <c r="L432" s="1">
        <v>42375.890972222223</v>
      </c>
      <c r="M432" s="1">
        <v>42375</v>
      </c>
      <c r="N432" s="3">
        <f>INT(BrightTV_JoinedTablesnw_2026_04_16_23_55_09[[#This Row],[Viewership.RecordDate22]])</f>
        <v>42375</v>
      </c>
      <c r="O432" s="2">
        <v>0.89097222222222228</v>
      </c>
      <c r="P432" t="s">
        <v>692</v>
      </c>
      <c r="Q432">
        <v>764429</v>
      </c>
      <c r="R432" t="s">
        <v>20</v>
      </c>
    </row>
    <row r="433" spans="1:18" x14ac:dyDescent="0.25">
      <c r="A433">
        <v>764429</v>
      </c>
      <c r="B433" t="s">
        <v>249</v>
      </c>
      <c r="C433" t="s">
        <v>104</v>
      </c>
      <c r="D433" t="s">
        <v>691</v>
      </c>
      <c r="E433" t="s">
        <v>38</v>
      </c>
      <c r="F433" t="s">
        <v>25</v>
      </c>
      <c r="G433">
        <v>22</v>
      </c>
      <c r="H433" t="s">
        <v>60</v>
      </c>
      <c r="I433" t="s">
        <v>253</v>
      </c>
      <c r="J433">
        <v>764429</v>
      </c>
      <c r="K433" t="s">
        <v>152</v>
      </c>
      <c r="L433" s="1">
        <v>42427.905555555553</v>
      </c>
      <c r="M433" s="1">
        <v>42427</v>
      </c>
      <c r="N433" s="3">
        <f>INT(BrightTV_JoinedTablesnw_2026_04_16_23_55_09[[#This Row],[Viewership.RecordDate22]])</f>
        <v>42427</v>
      </c>
      <c r="O433" s="2">
        <v>0.90555555555555556</v>
      </c>
      <c r="P433" t="s">
        <v>693</v>
      </c>
      <c r="Q433">
        <v>764429</v>
      </c>
      <c r="R433" t="s">
        <v>20</v>
      </c>
    </row>
    <row r="434" spans="1:18" x14ac:dyDescent="0.25">
      <c r="A434">
        <v>742848</v>
      </c>
      <c r="B434" t="s">
        <v>115</v>
      </c>
      <c r="C434" t="s">
        <v>260</v>
      </c>
      <c r="D434" t="s">
        <v>383</v>
      </c>
      <c r="E434" t="s">
        <v>38</v>
      </c>
      <c r="F434" t="s">
        <v>39</v>
      </c>
      <c r="G434">
        <v>25</v>
      </c>
      <c r="H434" t="s">
        <v>26</v>
      </c>
      <c r="I434" t="s">
        <v>118</v>
      </c>
      <c r="J434">
        <v>742848</v>
      </c>
      <c r="K434" t="s">
        <v>169</v>
      </c>
      <c r="L434" s="1">
        <v>42403.290972222225</v>
      </c>
      <c r="M434" s="1">
        <v>42403</v>
      </c>
      <c r="N434" s="3">
        <f>INT(BrightTV_JoinedTablesnw_2026_04_16_23_55_09[[#This Row],[Viewership.RecordDate22]])</f>
        <v>42403</v>
      </c>
      <c r="O434" s="2">
        <v>0.29097222222222224</v>
      </c>
      <c r="P434" t="s">
        <v>596</v>
      </c>
      <c r="Q434">
        <v>742848</v>
      </c>
      <c r="R434" t="s">
        <v>20</v>
      </c>
    </row>
    <row r="435" spans="1:18" x14ac:dyDescent="0.25">
      <c r="A435">
        <v>742848</v>
      </c>
      <c r="B435" t="s">
        <v>115</v>
      </c>
      <c r="C435" t="s">
        <v>260</v>
      </c>
      <c r="D435" t="s">
        <v>383</v>
      </c>
      <c r="E435" t="s">
        <v>38</v>
      </c>
      <c r="F435" t="s">
        <v>39</v>
      </c>
      <c r="G435">
        <v>25</v>
      </c>
      <c r="H435" t="s">
        <v>26</v>
      </c>
      <c r="I435" t="s">
        <v>118</v>
      </c>
      <c r="J435">
        <v>742848</v>
      </c>
      <c r="K435" t="s">
        <v>32</v>
      </c>
      <c r="L435" s="1">
        <v>42396.260416666664</v>
      </c>
      <c r="M435" s="1">
        <v>42396</v>
      </c>
      <c r="N435" s="3">
        <f>INT(BrightTV_JoinedTablesnw_2026_04_16_23_55_09[[#This Row],[Viewership.RecordDate22]])</f>
        <v>42396</v>
      </c>
      <c r="O435" s="2">
        <v>0.26041666666666669</v>
      </c>
      <c r="P435" t="s">
        <v>694</v>
      </c>
      <c r="Q435">
        <v>742848</v>
      </c>
      <c r="R435" t="s">
        <v>20</v>
      </c>
    </row>
    <row r="436" spans="1:18" x14ac:dyDescent="0.25">
      <c r="A436">
        <v>742848</v>
      </c>
      <c r="B436" t="s">
        <v>115</v>
      </c>
      <c r="C436" t="s">
        <v>260</v>
      </c>
      <c r="D436" t="s">
        <v>383</v>
      </c>
      <c r="E436" t="s">
        <v>38</v>
      </c>
      <c r="F436" t="s">
        <v>39</v>
      </c>
      <c r="G436">
        <v>25</v>
      </c>
      <c r="H436" t="s">
        <v>26</v>
      </c>
      <c r="I436" t="s">
        <v>118</v>
      </c>
      <c r="J436">
        <v>742848</v>
      </c>
      <c r="K436" t="s">
        <v>54</v>
      </c>
      <c r="L436" s="1">
        <v>42409.881944444445</v>
      </c>
      <c r="M436" s="1">
        <v>42409</v>
      </c>
      <c r="N436" s="3">
        <f>INT(BrightTV_JoinedTablesnw_2026_04_16_23_55_09[[#This Row],[Viewership.RecordDate22]])</f>
        <v>42409</v>
      </c>
      <c r="O436" s="2">
        <v>0.88194444444444442</v>
      </c>
      <c r="P436" t="s">
        <v>353</v>
      </c>
      <c r="Q436">
        <v>742848</v>
      </c>
      <c r="R436" t="s">
        <v>20</v>
      </c>
    </row>
    <row r="437" spans="1:18" x14ac:dyDescent="0.25">
      <c r="A437">
        <v>596302</v>
      </c>
      <c r="B437" t="s">
        <v>398</v>
      </c>
      <c r="C437" t="s">
        <v>22</v>
      </c>
      <c r="D437" t="s">
        <v>399</v>
      </c>
      <c r="E437" t="s">
        <v>38</v>
      </c>
      <c r="F437" t="s">
        <v>25</v>
      </c>
      <c r="G437">
        <v>50</v>
      </c>
      <c r="H437" t="s">
        <v>40</v>
      </c>
      <c r="I437" t="s">
        <v>400</v>
      </c>
      <c r="J437">
        <v>596302</v>
      </c>
      <c r="K437" t="s">
        <v>28</v>
      </c>
      <c r="L437" s="1">
        <v>42372.913888888892</v>
      </c>
      <c r="M437" s="1">
        <v>42372</v>
      </c>
      <c r="N437" s="3">
        <f>INT(BrightTV_JoinedTablesnw_2026_04_16_23_55_09[[#This Row],[Viewership.RecordDate22]])</f>
        <v>42372</v>
      </c>
      <c r="O437" s="2">
        <v>0.91388888888888886</v>
      </c>
      <c r="P437" t="s">
        <v>300</v>
      </c>
      <c r="Q437">
        <v>596302</v>
      </c>
      <c r="R437" t="s">
        <v>20</v>
      </c>
    </row>
    <row r="438" spans="1:18" x14ac:dyDescent="0.25">
      <c r="A438">
        <v>777129</v>
      </c>
      <c r="B438" t="s">
        <v>122</v>
      </c>
      <c r="C438" t="s">
        <v>148</v>
      </c>
      <c r="D438" t="s">
        <v>695</v>
      </c>
      <c r="E438" t="s">
        <v>38</v>
      </c>
      <c r="F438" t="s">
        <v>25</v>
      </c>
      <c r="G438">
        <v>31</v>
      </c>
      <c r="H438" t="s">
        <v>280</v>
      </c>
      <c r="I438" t="s">
        <v>125</v>
      </c>
      <c r="J438">
        <v>777129</v>
      </c>
      <c r="K438" t="s">
        <v>77</v>
      </c>
      <c r="L438" s="1">
        <v>42379.881249999999</v>
      </c>
      <c r="M438" s="1">
        <v>42379</v>
      </c>
      <c r="N438" s="3">
        <f>INT(BrightTV_JoinedTablesnw_2026_04_16_23_55_09[[#This Row],[Viewership.RecordDate22]])</f>
        <v>42379</v>
      </c>
      <c r="O438" s="2">
        <v>0.88124999999999998</v>
      </c>
      <c r="P438" t="s">
        <v>91</v>
      </c>
      <c r="Q438">
        <v>777129</v>
      </c>
      <c r="R438" t="s">
        <v>20</v>
      </c>
    </row>
    <row r="439" spans="1:18" x14ac:dyDescent="0.25">
      <c r="A439">
        <v>597265</v>
      </c>
      <c r="B439" t="s">
        <v>57</v>
      </c>
      <c r="C439" t="s">
        <v>379</v>
      </c>
      <c r="D439" t="s">
        <v>696</v>
      </c>
      <c r="E439" t="s">
        <v>38</v>
      </c>
      <c r="F439" t="s">
        <v>39</v>
      </c>
      <c r="G439">
        <v>28</v>
      </c>
      <c r="H439" t="s">
        <v>40</v>
      </c>
      <c r="I439" t="s">
        <v>61</v>
      </c>
      <c r="J439">
        <v>597265</v>
      </c>
      <c r="K439" t="s">
        <v>84</v>
      </c>
      <c r="L439" s="1">
        <v>42378.520833333336</v>
      </c>
      <c r="M439" s="1">
        <v>42378</v>
      </c>
      <c r="N439" s="3">
        <f>INT(BrightTV_JoinedTablesnw_2026_04_16_23_55_09[[#This Row],[Viewership.RecordDate22]])</f>
        <v>42378</v>
      </c>
      <c r="O439" s="2">
        <v>0.52083333333333337</v>
      </c>
      <c r="P439" t="s">
        <v>697</v>
      </c>
      <c r="Q439">
        <v>597265</v>
      </c>
      <c r="R439" t="s">
        <v>20</v>
      </c>
    </row>
    <row r="440" spans="1:18" x14ac:dyDescent="0.25">
      <c r="A440">
        <v>597265</v>
      </c>
      <c r="B440" t="s">
        <v>57</v>
      </c>
      <c r="C440" t="s">
        <v>379</v>
      </c>
      <c r="D440" t="s">
        <v>696</v>
      </c>
      <c r="E440" t="s">
        <v>38</v>
      </c>
      <c r="F440" t="s">
        <v>39</v>
      </c>
      <c r="G440">
        <v>28</v>
      </c>
      <c r="H440" t="s">
        <v>40</v>
      </c>
      <c r="I440" t="s">
        <v>61</v>
      </c>
      <c r="J440">
        <v>597265</v>
      </c>
      <c r="K440" t="s">
        <v>77</v>
      </c>
      <c r="L440" s="1">
        <v>42386.760416666664</v>
      </c>
      <c r="M440" s="1">
        <v>42386</v>
      </c>
      <c r="N440" s="3">
        <f>INT(BrightTV_JoinedTablesnw_2026_04_16_23_55_09[[#This Row],[Viewership.RecordDate22]])</f>
        <v>42386</v>
      </c>
      <c r="O440" s="2">
        <v>0.76041666666666663</v>
      </c>
      <c r="P440" t="s">
        <v>698</v>
      </c>
      <c r="Q440">
        <v>597265</v>
      </c>
      <c r="R440" t="s">
        <v>20</v>
      </c>
    </row>
    <row r="441" spans="1:18" x14ac:dyDescent="0.25">
      <c r="A441">
        <v>597265</v>
      </c>
      <c r="B441" t="s">
        <v>57</v>
      </c>
      <c r="C441" t="s">
        <v>379</v>
      </c>
      <c r="D441" t="s">
        <v>696</v>
      </c>
      <c r="E441" t="s">
        <v>38</v>
      </c>
      <c r="F441" t="s">
        <v>39</v>
      </c>
      <c r="G441">
        <v>28</v>
      </c>
      <c r="H441" t="s">
        <v>40</v>
      </c>
      <c r="I441" t="s">
        <v>61</v>
      </c>
      <c r="J441">
        <v>597265</v>
      </c>
      <c r="K441" t="s">
        <v>32</v>
      </c>
      <c r="L441" s="1">
        <v>42377.646527777775</v>
      </c>
      <c r="M441" s="1">
        <v>42377</v>
      </c>
      <c r="N441" s="3">
        <f>INT(BrightTV_JoinedTablesnw_2026_04_16_23_55_09[[#This Row],[Viewership.RecordDate22]])</f>
        <v>42377</v>
      </c>
      <c r="O441" s="2">
        <v>0.64652777777777781</v>
      </c>
      <c r="P441" t="s">
        <v>699</v>
      </c>
      <c r="Q441">
        <v>597265</v>
      </c>
      <c r="R441" t="s">
        <v>20</v>
      </c>
    </row>
    <row r="442" spans="1:18" x14ac:dyDescent="0.25">
      <c r="A442">
        <v>771907</v>
      </c>
      <c r="B442" t="s">
        <v>223</v>
      </c>
      <c r="C442" t="s">
        <v>116</v>
      </c>
      <c r="D442" t="s">
        <v>700</v>
      </c>
      <c r="E442" t="s">
        <v>38</v>
      </c>
      <c r="F442" t="s">
        <v>39</v>
      </c>
      <c r="G442">
        <v>41</v>
      </c>
      <c r="H442" t="s">
        <v>52</v>
      </c>
      <c r="I442" t="s">
        <v>226</v>
      </c>
      <c r="J442">
        <v>771907</v>
      </c>
      <c r="K442" t="s">
        <v>77</v>
      </c>
      <c r="L442" s="1">
        <v>42409.822916666664</v>
      </c>
      <c r="M442" s="1">
        <v>42409</v>
      </c>
      <c r="N442" s="3">
        <f>INT(BrightTV_JoinedTablesnw_2026_04_16_23_55_09[[#This Row],[Viewership.RecordDate22]])</f>
        <v>42409</v>
      </c>
      <c r="O442" s="2">
        <v>0.82291666666666663</v>
      </c>
      <c r="P442" t="s">
        <v>701</v>
      </c>
      <c r="Q442">
        <v>771907</v>
      </c>
      <c r="R442" t="s">
        <v>20</v>
      </c>
    </row>
    <row r="443" spans="1:18" x14ac:dyDescent="0.25">
      <c r="A443">
        <v>720398</v>
      </c>
      <c r="B443" t="s">
        <v>702</v>
      </c>
      <c r="C443" t="s">
        <v>659</v>
      </c>
      <c r="D443" t="s">
        <v>703</v>
      </c>
      <c r="E443" t="s">
        <v>24</v>
      </c>
      <c r="F443" t="s">
        <v>96</v>
      </c>
      <c r="G443">
        <v>28</v>
      </c>
      <c r="H443" t="s">
        <v>40</v>
      </c>
      <c r="I443" t="s">
        <v>704</v>
      </c>
      <c r="J443">
        <v>720398</v>
      </c>
      <c r="K443" t="s">
        <v>186</v>
      </c>
      <c r="L443" s="1">
        <v>42389.806944444441</v>
      </c>
      <c r="M443" s="1">
        <v>42389</v>
      </c>
      <c r="N443" s="3">
        <f>INT(BrightTV_JoinedTablesnw_2026_04_16_23_55_09[[#This Row],[Viewership.RecordDate22]])</f>
        <v>42389</v>
      </c>
      <c r="O443" s="2">
        <v>0.80694444444444446</v>
      </c>
      <c r="P443" t="s">
        <v>705</v>
      </c>
      <c r="Q443">
        <v>720398</v>
      </c>
      <c r="R443" t="s">
        <v>20</v>
      </c>
    </row>
    <row r="444" spans="1:18" x14ac:dyDescent="0.25">
      <c r="A444">
        <v>597491</v>
      </c>
      <c r="B444" t="s">
        <v>402</v>
      </c>
      <c r="C444" t="s">
        <v>543</v>
      </c>
      <c r="D444" t="s">
        <v>403</v>
      </c>
      <c r="E444" t="s">
        <v>38</v>
      </c>
      <c r="F444" t="s">
        <v>39</v>
      </c>
      <c r="G444">
        <v>24</v>
      </c>
      <c r="H444" t="s">
        <v>40</v>
      </c>
      <c r="I444" t="s">
        <v>404</v>
      </c>
      <c r="J444">
        <v>597491</v>
      </c>
      <c r="K444" t="s">
        <v>28</v>
      </c>
      <c r="L444" s="1">
        <v>42372.674305555556</v>
      </c>
      <c r="M444" s="1">
        <v>42372</v>
      </c>
      <c r="N444" s="3">
        <f>INT(BrightTV_JoinedTablesnw_2026_04_16_23_55_09[[#This Row],[Viewership.RecordDate22]])</f>
        <v>42372</v>
      </c>
      <c r="O444" s="2">
        <v>0.6743055555555556</v>
      </c>
      <c r="P444" t="s">
        <v>706</v>
      </c>
      <c r="Q444">
        <v>597491</v>
      </c>
      <c r="R444" t="s">
        <v>20</v>
      </c>
    </row>
    <row r="445" spans="1:18" x14ac:dyDescent="0.25">
      <c r="A445">
        <v>597491</v>
      </c>
      <c r="B445" t="s">
        <v>402</v>
      </c>
      <c r="C445" t="s">
        <v>543</v>
      </c>
      <c r="D445" t="s">
        <v>403</v>
      </c>
      <c r="E445" t="s">
        <v>38</v>
      </c>
      <c r="F445" t="s">
        <v>39</v>
      </c>
      <c r="G445">
        <v>24</v>
      </c>
      <c r="H445" t="s">
        <v>40</v>
      </c>
      <c r="I445" t="s">
        <v>404</v>
      </c>
      <c r="J445">
        <v>597491</v>
      </c>
      <c r="K445" t="s">
        <v>152</v>
      </c>
      <c r="L445" s="1">
        <v>42372.114583333336</v>
      </c>
      <c r="M445" s="1">
        <v>42372</v>
      </c>
      <c r="N445" s="3">
        <f>INT(BrightTV_JoinedTablesnw_2026_04_16_23_55_09[[#This Row],[Viewership.RecordDate22]])</f>
        <v>42372</v>
      </c>
      <c r="O445" s="2">
        <v>0.11458333333333333</v>
      </c>
      <c r="P445" t="s">
        <v>303</v>
      </c>
      <c r="Q445">
        <v>597491</v>
      </c>
      <c r="R445" t="s">
        <v>20</v>
      </c>
    </row>
    <row r="446" spans="1:18" x14ac:dyDescent="0.25">
      <c r="A446">
        <v>597491</v>
      </c>
      <c r="B446" t="s">
        <v>402</v>
      </c>
      <c r="C446" t="s">
        <v>543</v>
      </c>
      <c r="D446" t="s">
        <v>403</v>
      </c>
      <c r="E446" t="s">
        <v>38</v>
      </c>
      <c r="F446" t="s">
        <v>39</v>
      </c>
      <c r="G446">
        <v>24</v>
      </c>
      <c r="H446" t="s">
        <v>40</v>
      </c>
      <c r="I446" t="s">
        <v>404</v>
      </c>
      <c r="J446">
        <v>597491</v>
      </c>
      <c r="K446" t="s">
        <v>47</v>
      </c>
      <c r="L446" s="1">
        <v>42377.663888888892</v>
      </c>
      <c r="M446" s="1">
        <v>42377</v>
      </c>
      <c r="N446" s="3">
        <f>INT(BrightTV_JoinedTablesnw_2026_04_16_23_55_09[[#This Row],[Viewership.RecordDate22]])</f>
        <v>42377</v>
      </c>
      <c r="O446" s="2">
        <v>0.66388888888888886</v>
      </c>
      <c r="P446" t="s">
        <v>707</v>
      </c>
      <c r="Q446">
        <v>597491</v>
      </c>
      <c r="R446" t="s">
        <v>20</v>
      </c>
    </row>
    <row r="447" spans="1:18" x14ac:dyDescent="0.25">
      <c r="A447">
        <v>597491</v>
      </c>
      <c r="B447" t="s">
        <v>402</v>
      </c>
      <c r="C447" t="s">
        <v>543</v>
      </c>
      <c r="D447" t="s">
        <v>403</v>
      </c>
      <c r="E447" t="s">
        <v>38</v>
      </c>
      <c r="F447" t="s">
        <v>39</v>
      </c>
      <c r="G447">
        <v>24</v>
      </c>
      <c r="H447" t="s">
        <v>40</v>
      </c>
      <c r="I447" t="s">
        <v>404</v>
      </c>
      <c r="J447">
        <v>597491</v>
      </c>
      <c r="K447" t="s">
        <v>30</v>
      </c>
      <c r="L447" s="1">
        <v>42374.838194444441</v>
      </c>
      <c r="M447" s="1">
        <v>42374</v>
      </c>
      <c r="N447" s="3">
        <f>INT(BrightTV_JoinedTablesnw_2026_04_16_23_55_09[[#This Row],[Viewership.RecordDate22]])</f>
        <v>42374</v>
      </c>
      <c r="O447" s="2">
        <v>0.83819444444444446</v>
      </c>
      <c r="P447" t="s">
        <v>708</v>
      </c>
      <c r="Q447">
        <v>597491</v>
      </c>
      <c r="R447" t="s">
        <v>20</v>
      </c>
    </row>
    <row r="448" spans="1:18" x14ac:dyDescent="0.25">
      <c r="A448">
        <v>771048</v>
      </c>
      <c r="B448" t="s">
        <v>223</v>
      </c>
      <c r="C448" t="s">
        <v>659</v>
      </c>
      <c r="D448" t="s">
        <v>279</v>
      </c>
      <c r="E448" t="s">
        <v>38</v>
      </c>
      <c r="F448" t="s">
        <v>16</v>
      </c>
      <c r="G448">
        <v>19</v>
      </c>
      <c r="H448" t="s">
        <v>40</v>
      </c>
      <c r="I448" t="s">
        <v>226</v>
      </c>
      <c r="J448">
        <v>771048</v>
      </c>
      <c r="K448" t="s">
        <v>84</v>
      </c>
      <c r="L448" s="1">
        <v>42405.998611111114</v>
      </c>
      <c r="M448" s="1">
        <v>42405</v>
      </c>
      <c r="N448" s="3">
        <f>INT(BrightTV_JoinedTablesnw_2026_04_16_23_55_09[[#This Row],[Viewership.RecordDate22]])</f>
        <v>42405</v>
      </c>
      <c r="O448" s="2">
        <v>0.99861111111111112</v>
      </c>
      <c r="P448" t="s">
        <v>376</v>
      </c>
      <c r="Q448">
        <v>771048</v>
      </c>
      <c r="R448" t="s">
        <v>20</v>
      </c>
    </row>
    <row r="449" spans="1:18" x14ac:dyDescent="0.25">
      <c r="A449">
        <v>771048</v>
      </c>
      <c r="B449" t="s">
        <v>223</v>
      </c>
      <c r="C449" t="s">
        <v>659</v>
      </c>
      <c r="D449" t="s">
        <v>279</v>
      </c>
      <c r="E449" t="s">
        <v>38</v>
      </c>
      <c r="F449" t="s">
        <v>16</v>
      </c>
      <c r="G449">
        <v>19</v>
      </c>
      <c r="H449" t="s">
        <v>40</v>
      </c>
      <c r="I449" t="s">
        <v>226</v>
      </c>
      <c r="J449">
        <v>771048</v>
      </c>
      <c r="K449" t="s">
        <v>54</v>
      </c>
      <c r="L449" s="1">
        <v>42406.94027777778</v>
      </c>
      <c r="M449" s="1">
        <v>42406</v>
      </c>
      <c r="N449" s="3">
        <f>INT(BrightTV_JoinedTablesnw_2026_04_16_23_55_09[[#This Row],[Viewership.RecordDate22]])</f>
        <v>42406</v>
      </c>
      <c r="O449" s="2">
        <v>0.94027777777777777</v>
      </c>
      <c r="P449" t="s">
        <v>709</v>
      </c>
      <c r="Q449">
        <v>771048</v>
      </c>
      <c r="R449" t="s">
        <v>20</v>
      </c>
    </row>
    <row r="450" spans="1:18" x14ac:dyDescent="0.25">
      <c r="A450">
        <v>809039</v>
      </c>
      <c r="B450" t="s">
        <v>158</v>
      </c>
      <c r="C450" t="s">
        <v>305</v>
      </c>
      <c r="D450" t="s">
        <v>159</v>
      </c>
      <c r="E450" t="s">
        <v>38</v>
      </c>
      <c r="F450" t="s">
        <v>25</v>
      </c>
      <c r="G450">
        <v>43</v>
      </c>
      <c r="H450" t="s">
        <v>75</v>
      </c>
      <c r="I450" t="s">
        <v>160</v>
      </c>
      <c r="J450">
        <v>809039</v>
      </c>
      <c r="K450" t="s">
        <v>30</v>
      </c>
      <c r="L450" s="1">
        <v>42419.809027777781</v>
      </c>
      <c r="M450" s="1">
        <v>42419</v>
      </c>
      <c r="N450" s="3">
        <f>INT(BrightTV_JoinedTablesnw_2026_04_16_23_55_09[[#This Row],[Viewership.RecordDate22]])</f>
        <v>42419</v>
      </c>
      <c r="O450" s="2">
        <v>0.80902777777777779</v>
      </c>
      <c r="P450" t="s">
        <v>321</v>
      </c>
      <c r="Q450">
        <v>809039</v>
      </c>
      <c r="R450" t="s">
        <v>20</v>
      </c>
    </row>
    <row r="451" spans="1:18" x14ac:dyDescent="0.25">
      <c r="A451">
        <v>809039</v>
      </c>
      <c r="B451" t="s">
        <v>158</v>
      </c>
      <c r="C451" t="s">
        <v>305</v>
      </c>
      <c r="D451" t="s">
        <v>159</v>
      </c>
      <c r="E451" t="s">
        <v>38</v>
      </c>
      <c r="F451" t="s">
        <v>25</v>
      </c>
      <c r="G451">
        <v>43</v>
      </c>
      <c r="H451" t="s">
        <v>75</v>
      </c>
      <c r="I451" t="s">
        <v>160</v>
      </c>
      <c r="J451">
        <v>809039</v>
      </c>
      <c r="K451" t="s">
        <v>47</v>
      </c>
      <c r="L451" s="1">
        <v>42419.80972222222</v>
      </c>
      <c r="M451" s="1">
        <v>42419</v>
      </c>
      <c r="N451" s="3">
        <f>INT(BrightTV_JoinedTablesnw_2026_04_16_23_55_09[[#This Row],[Viewership.RecordDate22]])</f>
        <v>42419</v>
      </c>
      <c r="O451" s="2">
        <v>0.80972222222222223</v>
      </c>
      <c r="P451" t="s">
        <v>99</v>
      </c>
      <c r="Q451">
        <v>809039</v>
      </c>
      <c r="R451" t="s">
        <v>20</v>
      </c>
    </row>
    <row r="452" spans="1:18" x14ac:dyDescent="0.25">
      <c r="A452">
        <v>809039</v>
      </c>
      <c r="B452" t="s">
        <v>158</v>
      </c>
      <c r="C452" t="s">
        <v>305</v>
      </c>
      <c r="D452" t="s">
        <v>159</v>
      </c>
      <c r="E452" t="s">
        <v>38</v>
      </c>
      <c r="F452" t="s">
        <v>25</v>
      </c>
      <c r="G452">
        <v>43</v>
      </c>
      <c r="H452" t="s">
        <v>75</v>
      </c>
      <c r="I452" t="s">
        <v>160</v>
      </c>
      <c r="J452">
        <v>809039</v>
      </c>
      <c r="K452" t="s">
        <v>47</v>
      </c>
      <c r="L452" s="1">
        <v>42419.831250000003</v>
      </c>
      <c r="M452" s="1">
        <v>42419</v>
      </c>
      <c r="N452" s="3">
        <f>INT(BrightTV_JoinedTablesnw_2026_04_16_23_55_09[[#This Row],[Viewership.RecordDate22]])</f>
        <v>42419</v>
      </c>
      <c r="O452" s="2">
        <v>0.83125000000000004</v>
      </c>
      <c r="P452" t="s">
        <v>70</v>
      </c>
      <c r="Q452">
        <v>809039</v>
      </c>
      <c r="R452" t="s">
        <v>20</v>
      </c>
    </row>
    <row r="453" spans="1:18" x14ac:dyDescent="0.25">
      <c r="A453">
        <v>600446</v>
      </c>
      <c r="B453" t="s">
        <v>223</v>
      </c>
      <c r="C453" t="s">
        <v>81</v>
      </c>
      <c r="D453" t="s">
        <v>700</v>
      </c>
      <c r="E453" t="s">
        <v>38</v>
      </c>
      <c r="F453" t="s">
        <v>39</v>
      </c>
      <c r="G453">
        <v>36</v>
      </c>
      <c r="H453" t="s">
        <v>26</v>
      </c>
      <c r="I453" t="s">
        <v>226</v>
      </c>
      <c r="J453">
        <v>600446</v>
      </c>
      <c r="K453" t="s">
        <v>47</v>
      </c>
      <c r="L453" s="1">
        <v>42375.504861111112</v>
      </c>
      <c r="M453" s="1">
        <v>42375</v>
      </c>
      <c r="N453" s="3">
        <f>INT(BrightTV_JoinedTablesnw_2026_04_16_23_55_09[[#This Row],[Viewership.RecordDate22]])</f>
        <v>42375</v>
      </c>
      <c r="O453" s="2">
        <v>0.50486111111111109</v>
      </c>
      <c r="P453" t="s">
        <v>335</v>
      </c>
      <c r="Q453">
        <v>600446</v>
      </c>
      <c r="R453" t="s">
        <v>20</v>
      </c>
    </row>
    <row r="454" spans="1:18" x14ac:dyDescent="0.25">
      <c r="A454">
        <v>601098</v>
      </c>
      <c r="B454" t="s">
        <v>292</v>
      </c>
      <c r="C454" t="s">
        <v>412</v>
      </c>
      <c r="D454" t="s">
        <v>710</v>
      </c>
      <c r="E454" t="s">
        <v>38</v>
      </c>
      <c r="F454" t="s">
        <v>39</v>
      </c>
      <c r="G454">
        <v>25</v>
      </c>
      <c r="H454" t="s">
        <v>40</v>
      </c>
      <c r="I454" t="s">
        <v>295</v>
      </c>
      <c r="J454">
        <v>601098</v>
      </c>
      <c r="K454" t="s">
        <v>496</v>
      </c>
      <c r="L454" s="1">
        <v>42376.374305555553</v>
      </c>
      <c r="M454" s="1">
        <v>42376</v>
      </c>
      <c r="N454" s="3">
        <f>INT(BrightTV_JoinedTablesnw_2026_04_16_23_55_09[[#This Row],[Viewership.RecordDate22]])</f>
        <v>42376</v>
      </c>
      <c r="O454" s="2">
        <v>0.37430555555555556</v>
      </c>
      <c r="P454" t="s">
        <v>685</v>
      </c>
      <c r="Q454">
        <v>601098</v>
      </c>
      <c r="R454" t="s">
        <v>20</v>
      </c>
    </row>
    <row r="455" spans="1:18" x14ac:dyDescent="0.25">
      <c r="A455">
        <v>601176</v>
      </c>
      <c r="B455" t="s">
        <v>72</v>
      </c>
      <c r="C455" t="s">
        <v>412</v>
      </c>
      <c r="D455" t="s">
        <v>711</v>
      </c>
      <c r="E455" t="s">
        <v>38</v>
      </c>
      <c r="F455" t="s">
        <v>25</v>
      </c>
      <c r="G455">
        <v>23</v>
      </c>
      <c r="H455" t="s">
        <v>75</v>
      </c>
      <c r="I455" t="s">
        <v>76</v>
      </c>
      <c r="J455">
        <v>601176</v>
      </c>
      <c r="K455" t="s">
        <v>30</v>
      </c>
      <c r="L455" s="1">
        <v>42371.80972222222</v>
      </c>
      <c r="M455" s="1">
        <v>42371</v>
      </c>
      <c r="N455" s="3">
        <f>INT(BrightTV_JoinedTablesnw_2026_04_16_23_55_09[[#This Row],[Viewership.RecordDate22]])</f>
        <v>42371</v>
      </c>
      <c r="O455" s="2">
        <v>0.80972222222222223</v>
      </c>
      <c r="P455" t="s">
        <v>109</v>
      </c>
      <c r="Q455">
        <v>601176</v>
      </c>
      <c r="R455" t="s">
        <v>20</v>
      </c>
    </row>
    <row r="456" spans="1:18" x14ac:dyDescent="0.25">
      <c r="A456">
        <v>788751</v>
      </c>
      <c r="B456" t="s">
        <v>576</v>
      </c>
      <c r="C456" t="s">
        <v>407</v>
      </c>
      <c r="D456" t="s">
        <v>577</v>
      </c>
      <c r="E456" t="s">
        <v>38</v>
      </c>
      <c r="F456" t="s">
        <v>96</v>
      </c>
      <c r="G456">
        <v>26</v>
      </c>
      <c r="H456" t="s">
        <v>60</v>
      </c>
      <c r="I456" t="s">
        <v>578</v>
      </c>
      <c r="J456">
        <v>788751</v>
      </c>
      <c r="K456" t="s">
        <v>54</v>
      </c>
      <c r="L456" s="1">
        <v>42401.982638888891</v>
      </c>
      <c r="M456" s="1">
        <v>42401</v>
      </c>
      <c r="N456" s="3">
        <f>INT(BrightTV_JoinedTablesnw_2026_04_16_23_55_09[[#This Row],[Viewership.RecordDate22]])</f>
        <v>42401</v>
      </c>
      <c r="O456" s="2">
        <v>0.98263888888888884</v>
      </c>
      <c r="P456" t="s">
        <v>712</v>
      </c>
      <c r="Q456">
        <v>788751</v>
      </c>
      <c r="R456" t="s">
        <v>20</v>
      </c>
    </row>
    <row r="457" spans="1:18" x14ac:dyDescent="0.25">
      <c r="A457">
        <v>809043</v>
      </c>
      <c r="B457" t="s">
        <v>57</v>
      </c>
      <c r="C457" t="s">
        <v>155</v>
      </c>
      <c r="D457" t="s">
        <v>59</v>
      </c>
      <c r="E457" t="s">
        <v>38</v>
      </c>
      <c r="F457" t="s">
        <v>39</v>
      </c>
      <c r="G457">
        <v>34</v>
      </c>
      <c r="H457" t="s">
        <v>40</v>
      </c>
      <c r="I457" t="s">
        <v>61</v>
      </c>
      <c r="J457">
        <v>809043</v>
      </c>
      <c r="K457" t="s">
        <v>77</v>
      </c>
      <c r="L457" s="1">
        <v>42419.256944444445</v>
      </c>
      <c r="M457" s="1">
        <v>42419</v>
      </c>
      <c r="N457" s="3">
        <f>INT(BrightTV_JoinedTablesnw_2026_04_16_23_55_09[[#This Row],[Viewership.RecordDate22]])</f>
        <v>42419</v>
      </c>
      <c r="O457" s="2">
        <v>0.25694444444444442</v>
      </c>
      <c r="P457" t="s">
        <v>713</v>
      </c>
      <c r="Q457">
        <v>809043</v>
      </c>
      <c r="R457" t="s">
        <v>20</v>
      </c>
    </row>
    <row r="458" spans="1:18" x14ac:dyDescent="0.25">
      <c r="A458">
        <v>809043</v>
      </c>
      <c r="B458" t="s">
        <v>57</v>
      </c>
      <c r="C458" t="s">
        <v>155</v>
      </c>
      <c r="D458" t="s">
        <v>59</v>
      </c>
      <c r="E458" t="s">
        <v>38</v>
      </c>
      <c r="F458" t="s">
        <v>39</v>
      </c>
      <c r="G458">
        <v>34</v>
      </c>
      <c r="H458" t="s">
        <v>40</v>
      </c>
      <c r="I458" t="s">
        <v>61</v>
      </c>
      <c r="J458">
        <v>809043</v>
      </c>
      <c r="K458" t="s">
        <v>47</v>
      </c>
      <c r="L458" s="1">
        <v>42421.909722222219</v>
      </c>
      <c r="M458" s="1">
        <v>42421</v>
      </c>
      <c r="N458" s="3">
        <f>INT(BrightTV_JoinedTablesnw_2026_04_16_23_55_09[[#This Row],[Viewership.RecordDate22]])</f>
        <v>42421</v>
      </c>
      <c r="O458" s="2">
        <v>0.90972222222222221</v>
      </c>
      <c r="P458" t="s">
        <v>714</v>
      </c>
      <c r="Q458">
        <v>809043</v>
      </c>
      <c r="R458" t="s">
        <v>20</v>
      </c>
    </row>
    <row r="459" spans="1:18" x14ac:dyDescent="0.25">
      <c r="A459">
        <v>809043</v>
      </c>
      <c r="B459" t="s">
        <v>57</v>
      </c>
      <c r="C459" t="s">
        <v>155</v>
      </c>
      <c r="D459" t="s">
        <v>59</v>
      </c>
      <c r="E459" t="s">
        <v>38</v>
      </c>
      <c r="F459" t="s">
        <v>39</v>
      </c>
      <c r="G459">
        <v>34</v>
      </c>
      <c r="H459" t="s">
        <v>40</v>
      </c>
      <c r="I459" t="s">
        <v>61</v>
      </c>
      <c r="J459">
        <v>809043</v>
      </c>
      <c r="K459" t="s">
        <v>47</v>
      </c>
      <c r="L459" s="1">
        <v>42435.615277777775</v>
      </c>
      <c r="M459" s="1">
        <v>42435</v>
      </c>
      <c r="N459" s="3">
        <f>INT(BrightTV_JoinedTablesnw_2026_04_16_23_55_09[[#This Row],[Viewership.RecordDate22]])</f>
        <v>42435</v>
      </c>
      <c r="O459" s="2">
        <v>0.61527777777777781</v>
      </c>
      <c r="P459" t="s">
        <v>286</v>
      </c>
      <c r="Q459">
        <v>809043</v>
      </c>
      <c r="R459" t="s">
        <v>20</v>
      </c>
    </row>
    <row r="460" spans="1:18" x14ac:dyDescent="0.25">
      <c r="A460">
        <v>771911</v>
      </c>
      <c r="B460" t="s">
        <v>600</v>
      </c>
      <c r="C460" t="s">
        <v>681</v>
      </c>
      <c r="D460" t="s">
        <v>715</v>
      </c>
      <c r="E460" t="s">
        <v>38</v>
      </c>
      <c r="F460" t="s">
        <v>39</v>
      </c>
      <c r="G460">
        <v>25</v>
      </c>
      <c r="H460" t="s">
        <v>280</v>
      </c>
      <c r="I460" t="s">
        <v>602</v>
      </c>
      <c r="J460">
        <v>771911</v>
      </c>
      <c r="K460" t="s">
        <v>47</v>
      </c>
      <c r="L460" s="1">
        <v>42414.898611111108</v>
      </c>
      <c r="M460" s="1">
        <v>42414</v>
      </c>
      <c r="N460" s="3">
        <f>INT(BrightTV_JoinedTablesnw_2026_04_16_23_55_09[[#This Row],[Viewership.RecordDate22]])</f>
        <v>42414</v>
      </c>
      <c r="O460" s="2">
        <v>0.89861111111111114</v>
      </c>
      <c r="P460" t="s">
        <v>100</v>
      </c>
      <c r="Q460">
        <v>771911</v>
      </c>
      <c r="R460" t="s">
        <v>20</v>
      </c>
    </row>
    <row r="461" spans="1:18" x14ac:dyDescent="0.25">
      <c r="A461">
        <v>771911</v>
      </c>
      <c r="B461" t="s">
        <v>600</v>
      </c>
      <c r="C461" t="s">
        <v>681</v>
      </c>
      <c r="D461" t="s">
        <v>715</v>
      </c>
      <c r="E461" t="s">
        <v>38</v>
      </c>
      <c r="F461" t="s">
        <v>39</v>
      </c>
      <c r="G461">
        <v>25</v>
      </c>
      <c r="H461" t="s">
        <v>280</v>
      </c>
      <c r="I461" t="s">
        <v>602</v>
      </c>
      <c r="J461">
        <v>771911</v>
      </c>
      <c r="K461" t="s">
        <v>47</v>
      </c>
      <c r="L461" s="1">
        <v>42402.815972222219</v>
      </c>
      <c r="M461" s="1">
        <v>42402</v>
      </c>
      <c r="N461" s="3">
        <f>INT(BrightTV_JoinedTablesnw_2026_04_16_23_55_09[[#This Row],[Viewership.RecordDate22]])</f>
        <v>42402</v>
      </c>
      <c r="O461" s="2">
        <v>0.81597222222222221</v>
      </c>
      <c r="P461" t="s">
        <v>716</v>
      </c>
      <c r="Q461">
        <v>771911</v>
      </c>
      <c r="R461" t="s">
        <v>20</v>
      </c>
    </row>
    <row r="462" spans="1:18" x14ac:dyDescent="0.25">
      <c r="A462">
        <v>771911</v>
      </c>
      <c r="B462" t="s">
        <v>600</v>
      </c>
      <c r="C462" t="s">
        <v>681</v>
      </c>
      <c r="D462" t="s">
        <v>715</v>
      </c>
      <c r="E462" t="s">
        <v>38</v>
      </c>
      <c r="F462" t="s">
        <v>39</v>
      </c>
      <c r="G462">
        <v>25</v>
      </c>
      <c r="H462" t="s">
        <v>280</v>
      </c>
      <c r="I462" t="s">
        <v>602</v>
      </c>
      <c r="J462">
        <v>771911</v>
      </c>
      <c r="K462" t="s">
        <v>28</v>
      </c>
      <c r="L462" s="1">
        <v>42402.118055555555</v>
      </c>
      <c r="M462" s="1">
        <v>42402</v>
      </c>
      <c r="N462" s="3">
        <f>INT(BrightTV_JoinedTablesnw_2026_04_16_23_55_09[[#This Row],[Viewership.RecordDate22]])</f>
        <v>42402</v>
      </c>
      <c r="O462" s="2">
        <v>0.11805555555555555</v>
      </c>
      <c r="P462" t="s">
        <v>547</v>
      </c>
      <c r="Q462">
        <v>771911</v>
      </c>
      <c r="R462" t="s">
        <v>20</v>
      </c>
    </row>
    <row r="463" spans="1:18" x14ac:dyDescent="0.25">
      <c r="A463">
        <v>771911</v>
      </c>
      <c r="B463" t="s">
        <v>600</v>
      </c>
      <c r="C463" t="s">
        <v>681</v>
      </c>
      <c r="D463" t="s">
        <v>715</v>
      </c>
      <c r="E463" t="s">
        <v>38</v>
      </c>
      <c r="F463" t="s">
        <v>39</v>
      </c>
      <c r="G463">
        <v>25</v>
      </c>
      <c r="H463" t="s">
        <v>280</v>
      </c>
      <c r="I463" t="s">
        <v>602</v>
      </c>
      <c r="J463">
        <v>771911</v>
      </c>
      <c r="K463" t="s">
        <v>54</v>
      </c>
      <c r="L463" s="1">
        <v>42402.106249999997</v>
      </c>
      <c r="M463" s="1">
        <v>42402</v>
      </c>
      <c r="N463" s="3">
        <f>INT(BrightTV_JoinedTablesnw_2026_04_16_23_55_09[[#This Row],[Viewership.RecordDate22]])</f>
        <v>42402</v>
      </c>
      <c r="O463" s="2">
        <v>0.10625</v>
      </c>
      <c r="P463" t="s">
        <v>717</v>
      </c>
      <c r="Q463">
        <v>771911</v>
      </c>
      <c r="R463" t="s">
        <v>20</v>
      </c>
    </row>
    <row r="464" spans="1:18" x14ac:dyDescent="0.25">
      <c r="A464">
        <v>771911</v>
      </c>
      <c r="B464" t="s">
        <v>600</v>
      </c>
      <c r="C464" t="s">
        <v>681</v>
      </c>
      <c r="D464" t="s">
        <v>715</v>
      </c>
      <c r="E464" t="s">
        <v>38</v>
      </c>
      <c r="F464" t="s">
        <v>39</v>
      </c>
      <c r="G464">
        <v>25</v>
      </c>
      <c r="H464" t="s">
        <v>280</v>
      </c>
      <c r="I464" t="s">
        <v>602</v>
      </c>
      <c r="J464">
        <v>771911</v>
      </c>
      <c r="K464" t="s">
        <v>77</v>
      </c>
      <c r="L464" s="1">
        <v>42437.515972222223</v>
      </c>
      <c r="M464" s="1">
        <v>42437</v>
      </c>
      <c r="N464" s="3">
        <f>INT(BrightTV_JoinedTablesnw_2026_04_16_23_55_09[[#This Row],[Viewership.RecordDate22]])</f>
        <v>42437</v>
      </c>
      <c r="O464" s="2">
        <v>0.51597222222222228</v>
      </c>
      <c r="P464" t="s">
        <v>718</v>
      </c>
      <c r="Q464">
        <v>771911</v>
      </c>
      <c r="R464" t="s">
        <v>20</v>
      </c>
    </row>
    <row r="465" spans="1:18" x14ac:dyDescent="0.25">
      <c r="A465">
        <v>771911</v>
      </c>
      <c r="B465" t="s">
        <v>600</v>
      </c>
      <c r="C465" t="s">
        <v>681</v>
      </c>
      <c r="D465" t="s">
        <v>715</v>
      </c>
      <c r="E465" t="s">
        <v>38</v>
      </c>
      <c r="F465" t="s">
        <v>39</v>
      </c>
      <c r="G465">
        <v>25</v>
      </c>
      <c r="H465" t="s">
        <v>280</v>
      </c>
      <c r="I465" t="s">
        <v>602</v>
      </c>
      <c r="J465">
        <v>771911</v>
      </c>
      <c r="K465" t="s">
        <v>18</v>
      </c>
      <c r="L465" s="1">
        <v>42435.601388888892</v>
      </c>
      <c r="M465" s="1">
        <v>42435</v>
      </c>
      <c r="N465" s="3">
        <f>INT(BrightTV_JoinedTablesnw_2026_04_16_23_55_09[[#This Row],[Viewership.RecordDate22]])</f>
        <v>42435</v>
      </c>
      <c r="O465" s="2">
        <v>0.60138888888888886</v>
      </c>
      <c r="P465" t="s">
        <v>19</v>
      </c>
      <c r="Q465">
        <v>771911</v>
      </c>
      <c r="R465" t="s">
        <v>20</v>
      </c>
    </row>
    <row r="466" spans="1:18" x14ac:dyDescent="0.25">
      <c r="A466">
        <v>610413</v>
      </c>
      <c r="B466" t="s">
        <v>719</v>
      </c>
      <c r="C466" t="s">
        <v>58</v>
      </c>
      <c r="D466" t="s">
        <v>720</v>
      </c>
      <c r="E466" t="s">
        <v>24</v>
      </c>
      <c r="F466" t="s">
        <v>39</v>
      </c>
      <c r="G466">
        <v>64</v>
      </c>
      <c r="H466" t="s">
        <v>26</v>
      </c>
      <c r="I466" t="s">
        <v>721</v>
      </c>
      <c r="J466">
        <v>610413</v>
      </c>
      <c r="K466" t="s">
        <v>77</v>
      </c>
      <c r="L466" s="1">
        <v>42382.929861111108</v>
      </c>
      <c r="M466" s="1">
        <v>42382</v>
      </c>
      <c r="N466" s="3">
        <f>INT(BrightTV_JoinedTablesnw_2026_04_16_23_55_09[[#This Row],[Viewership.RecordDate22]])</f>
        <v>42382</v>
      </c>
      <c r="O466" s="2">
        <v>0.92986111111111114</v>
      </c>
      <c r="P466" t="s">
        <v>722</v>
      </c>
      <c r="Q466">
        <v>610413</v>
      </c>
      <c r="R466" t="s">
        <v>20</v>
      </c>
    </row>
    <row r="467" spans="1:18" x14ac:dyDescent="0.25">
      <c r="A467">
        <v>809045</v>
      </c>
      <c r="B467" t="s">
        <v>35</v>
      </c>
      <c r="C467" t="s">
        <v>333</v>
      </c>
      <c r="D467" t="s">
        <v>299</v>
      </c>
      <c r="E467" t="s">
        <v>38</v>
      </c>
      <c r="F467" t="s">
        <v>96</v>
      </c>
      <c r="G467">
        <v>38</v>
      </c>
      <c r="H467" t="s">
        <v>60</v>
      </c>
      <c r="I467" t="s">
        <v>41</v>
      </c>
      <c r="J467">
        <v>809045</v>
      </c>
      <c r="K467" t="s">
        <v>84</v>
      </c>
      <c r="L467" s="1">
        <v>42418.967361111114</v>
      </c>
      <c r="M467" s="1">
        <v>42418</v>
      </c>
      <c r="N467" s="3">
        <f>INT(BrightTV_JoinedTablesnw_2026_04_16_23_55_09[[#This Row],[Viewership.RecordDate22]])</f>
        <v>42418</v>
      </c>
      <c r="O467" s="2">
        <v>0.96736111111111112</v>
      </c>
      <c r="P467" t="s">
        <v>31</v>
      </c>
      <c r="Q467">
        <v>809045</v>
      </c>
      <c r="R467" t="s">
        <v>20</v>
      </c>
    </row>
    <row r="468" spans="1:18" x14ac:dyDescent="0.25">
      <c r="A468">
        <v>809045</v>
      </c>
      <c r="B468" t="s">
        <v>35</v>
      </c>
      <c r="C468" t="s">
        <v>333</v>
      </c>
      <c r="D468" t="s">
        <v>299</v>
      </c>
      <c r="E468" t="s">
        <v>38</v>
      </c>
      <c r="F468" t="s">
        <v>96</v>
      </c>
      <c r="G468">
        <v>38</v>
      </c>
      <c r="H468" t="s">
        <v>60</v>
      </c>
      <c r="I468" t="s">
        <v>41</v>
      </c>
      <c r="J468">
        <v>809045</v>
      </c>
      <c r="K468" t="s">
        <v>30</v>
      </c>
      <c r="L468" s="1">
        <v>42427.913888888892</v>
      </c>
      <c r="M468" s="1">
        <v>42427</v>
      </c>
      <c r="N468" s="3">
        <f>INT(BrightTV_JoinedTablesnw_2026_04_16_23_55_09[[#This Row],[Viewership.RecordDate22]])</f>
        <v>42427</v>
      </c>
      <c r="O468" s="2">
        <v>0.91388888888888886</v>
      </c>
      <c r="P468" t="s">
        <v>281</v>
      </c>
      <c r="Q468">
        <v>809045</v>
      </c>
      <c r="R468" t="s">
        <v>20</v>
      </c>
    </row>
    <row r="469" spans="1:18" x14ac:dyDescent="0.25">
      <c r="A469">
        <v>615122</v>
      </c>
      <c r="B469" t="s">
        <v>192</v>
      </c>
      <c r="C469" t="s">
        <v>66</v>
      </c>
      <c r="D469" t="s">
        <v>626</v>
      </c>
      <c r="E469" t="s">
        <v>38</v>
      </c>
      <c r="F469" t="s">
        <v>39</v>
      </c>
      <c r="G469">
        <v>24</v>
      </c>
      <c r="H469" t="s">
        <v>75</v>
      </c>
      <c r="I469" t="s">
        <v>195</v>
      </c>
      <c r="J469">
        <v>615122</v>
      </c>
      <c r="K469" t="s">
        <v>47</v>
      </c>
      <c r="L469" s="1">
        <v>42379.667361111111</v>
      </c>
      <c r="M469" s="1">
        <v>42379</v>
      </c>
      <c r="N469" s="3">
        <f>INT(BrightTV_JoinedTablesnw_2026_04_16_23_55_09[[#This Row],[Viewership.RecordDate22]])</f>
        <v>42379</v>
      </c>
      <c r="O469" s="2">
        <v>0.66736111111111107</v>
      </c>
      <c r="P469" t="s">
        <v>353</v>
      </c>
      <c r="Q469">
        <v>615122</v>
      </c>
      <c r="R469" t="s">
        <v>20</v>
      </c>
    </row>
    <row r="470" spans="1:18" x14ac:dyDescent="0.25">
      <c r="A470">
        <v>779489</v>
      </c>
      <c r="B470" t="s">
        <v>723</v>
      </c>
      <c r="C470" t="s">
        <v>593</v>
      </c>
      <c r="D470" t="s">
        <v>724</v>
      </c>
      <c r="E470" t="s">
        <v>38</v>
      </c>
      <c r="F470" t="s">
        <v>39</v>
      </c>
      <c r="G470">
        <v>37</v>
      </c>
      <c r="H470" t="s">
        <v>52</v>
      </c>
      <c r="I470" t="s">
        <v>725</v>
      </c>
      <c r="J470">
        <v>779489</v>
      </c>
      <c r="K470" t="s">
        <v>152</v>
      </c>
      <c r="L470" s="1">
        <v>42432.186111111114</v>
      </c>
      <c r="M470" s="1">
        <v>42432</v>
      </c>
      <c r="N470" s="3">
        <f>INT(BrightTV_JoinedTablesnw_2026_04_16_23_55_09[[#This Row],[Viewership.RecordDate22]])</f>
        <v>42432</v>
      </c>
      <c r="O470" s="2">
        <v>0.18611111111111112</v>
      </c>
      <c r="P470" t="s">
        <v>246</v>
      </c>
      <c r="Q470">
        <v>779489</v>
      </c>
      <c r="R470" t="s">
        <v>20</v>
      </c>
    </row>
    <row r="471" spans="1:18" x14ac:dyDescent="0.25">
      <c r="A471">
        <v>809047</v>
      </c>
      <c r="B471" t="s">
        <v>454</v>
      </c>
      <c r="C471" t="s">
        <v>379</v>
      </c>
      <c r="D471" t="s">
        <v>726</v>
      </c>
      <c r="E471" t="s">
        <v>24</v>
      </c>
      <c r="F471" t="s">
        <v>16</v>
      </c>
      <c r="G471">
        <v>50</v>
      </c>
      <c r="H471" t="s">
        <v>60</v>
      </c>
      <c r="I471" t="s">
        <v>727</v>
      </c>
      <c r="J471">
        <v>809047</v>
      </c>
      <c r="K471" t="s">
        <v>77</v>
      </c>
      <c r="L471" s="1">
        <v>42460.987500000003</v>
      </c>
      <c r="M471" s="1">
        <v>42460</v>
      </c>
      <c r="N471" s="3">
        <f>INT(BrightTV_JoinedTablesnw_2026_04_16_23_55_09[[#This Row],[Viewership.RecordDate22]])</f>
        <v>42460</v>
      </c>
      <c r="O471" s="2">
        <v>0.98750000000000004</v>
      </c>
      <c r="P471" t="s">
        <v>728</v>
      </c>
      <c r="Q471">
        <v>809047</v>
      </c>
      <c r="R471" t="s">
        <v>20</v>
      </c>
    </row>
    <row r="472" spans="1:18" x14ac:dyDescent="0.25">
      <c r="A472">
        <v>809047</v>
      </c>
      <c r="B472" t="s">
        <v>454</v>
      </c>
      <c r="C472" t="s">
        <v>379</v>
      </c>
      <c r="D472" t="s">
        <v>726</v>
      </c>
      <c r="E472" t="s">
        <v>24</v>
      </c>
      <c r="F472" t="s">
        <v>16</v>
      </c>
      <c r="G472">
        <v>50</v>
      </c>
      <c r="H472" t="s">
        <v>60</v>
      </c>
      <c r="I472" t="s">
        <v>727</v>
      </c>
      <c r="J472">
        <v>809047</v>
      </c>
      <c r="K472" t="s">
        <v>77</v>
      </c>
      <c r="L472" s="1">
        <v>42436.85833333333</v>
      </c>
      <c r="M472" s="1">
        <v>42436</v>
      </c>
      <c r="N472" s="3">
        <f>INT(BrightTV_JoinedTablesnw_2026_04_16_23_55_09[[#This Row],[Viewership.RecordDate22]])</f>
        <v>42436</v>
      </c>
      <c r="O472" s="2">
        <v>0.85833333333333328</v>
      </c>
      <c r="P472" t="s">
        <v>729</v>
      </c>
      <c r="Q472">
        <v>809047</v>
      </c>
      <c r="R472" t="s">
        <v>20</v>
      </c>
    </row>
    <row r="473" spans="1:18" x14ac:dyDescent="0.25">
      <c r="A473">
        <v>737179</v>
      </c>
      <c r="B473" t="s">
        <v>676</v>
      </c>
      <c r="C473" t="s">
        <v>260</v>
      </c>
      <c r="D473" t="s">
        <v>730</v>
      </c>
      <c r="E473" t="s">
        <v>38</v>
      </c>
      <c r="F473" t="s">
        <v>16</v>
      </c>
      <c r="G473">
        <v>25</v>
      </c>
      <c r="H473" t="s">
        <v>40</v>
      </c>
      <c r="I473" t="s">
        <v>678</v>
      </c>
      <c r="J473">
        <v>737179</v>
      </c>
      <c r="K473" t="s">
        <v>77</v>
      </c>
      <c r="L473" s="1">
        <v>42393.569444444445</v>
      </c>
      <c r="M473" s="1">
        <v>42393</v>
      </c>
      <c r="N473" s="3">
        <f>INT(BrightTV_JoinedTablesnw_2026_04_16_23_55_09[[#This Row],[Viewership.RecordDate22]])</f>
        <v>42393</v>
      </c>
      <c r="O473" s="2">
        <v>0.56944444444444442</v>
      </c>
      <c r="P473" t="s">
        <v>29</v>
      </c>
      <c r="Q473">
        <v>737179</v>
      </c>
      <c r="R473" t="s">
        <v>20</v>
      </c>
    </row>
    <row r="474" spans="1:18" x14ac:dyDescent="0.25">
      <c r="A474">
        <v>621328</v>
      </c>
      <c r="B474" t="s">
        <v>80</v>
      </c>
      <c r="C474" t="s">
        <v>87</v>
      </c>
      <c r="D474" t="s">
        <v>731</v>
      </c>
      <c r="E474" t="s">
        <v>38</v>
      </c>
      <c r="F474" t="s">
        <v>16</v>
      </c>
      <c r="G474">
        <v>29</v>
      </c>
      <c r="H474" t="s">
        <v>60</v>
      </c>
      <c r="I474" t="s">
        <v>83</v>
      </c>
      <c r="J474">
        <v>621328</v>
      </c>
      <c r="K474" t="s">
        <v>186</v>
      </c>
      <c r="L474" s="1">
        <v>42382.918055555558</v>
      </c>
      <c r="M474" s="1">
        <v>42382</v>
      </c>
      <c r="N474" s="3">
        <f>INT(BrightTV_JoinedTablesnw_2026_04_16_23_55_09[[#This Row],[Viewership.RecordDate22]])</f>
        <v>42382</v>
      </c>
      <c r="O474" s="2">
        <v>0.91805555555555551</v>
      </c>
      <c r="P474" t="s">
        <v>732</v>
      </c>
      <c r="Q474">
        <v>621328</v>
      </c>
      <c r="R474" t="s">
        <v>20</v>
      </c>
    </row>
    <row r="475" spans="1:18" x14ac:dyDescent="0.25">
      <c r="A475">
        <v>621470</v>
      </c>
      <c r="B475" t="s">
        <v>147</v>
      </c>
      <c r="C475" t="s">
        <v>361</v>
      </c>
      <c r="D475" t="s">
        <v>149</v>
      </c>
      <c r="E475" t="s">
        <v>38</v>
      </c>
      <c r="F475" t="s">
        <v>25</v>
      </c>
      <c r="G475">
        <v>26</v>
      </c>
      <c r="H475" t="s">
        <v>60</v>
      </c>
      <c r="I475" t="s">
        <v>150</v>
      </c>
      <c r="J475">
        <v>621470</v>
      </c>
      <c r="K475" t="s">
        <v>62</v>
      </c>
      <c r="L475" s="1">
        <v>42373.855555555558</v>
      </c>
      <c r="M475" s="1">
        <v>42373</v>
      </c>
      <c r="N475" s="3">
        <f>INT(BrightTV_JoinedTablesnw_2026_04_16_23_55_09[[#This Row],[Viewership.RecordDate22]])</f>
        <v>42373</v>
      </c>
      <c r="O475" s="2">
        <v>0.85555555555555551</v>
      </c>
      <c r="P475" t="s">
        <v>733</v>
      </c>
      <c r="Q475">
        <v>621470</v>
      </c>
      <c r="R475" t="s">
        <v>20</v>
      </c>
    </row>
    <row r="476" spans="1:18" x14ac:dyDescent="0.25">
      <c r="A476">
        <v>621470</v>
      </c>
      <c r="B476" t="s">
        <v>147</v>
      </c>
      <c r="C476" t="s">
        <v>361</v>
      </c>
      <c r="D476" t="s">
        <v>149</v>
      </c>
      <c r="E476" t="s">
        <v>38</v>
      </c>
      <c r="F476" t="s">
        <v>25</v>
      </c>
      <c r="G476">
        <v>26</v>
      </c>
      <c r="H476" t="s">
        <v>60</v>
      </c>
      <c r="I476" t="s">
        <v>150</v>
      </c>
      <c r="J476">
        <v>621470</v>
      </c>
      <c r="K476" t="s">
        <v>54</v>
      </c>
      <c r="L476" s="1">
        <v>42391.65625</v>
      </c>
      <c r="M476" s="1">
        <v>42391</v>
      </c>
      <c r="N476" s="3">
        <f>INT(BrightTV_JoinedTablesnw_2026_04_16_23_55_09[[#This Row],[Viewership.RecordDate22]])</f>
        <v>42391</v>
      </c>
      <c r="O476" s="2">
        <v>0.65625</v>
      </c>
      <c r="P476" t="s">
        <v>734</v>
      </c>
      <c r="Q476">
        <v>621470</v>
      </c>
      <c r="R476" t="s">
        <v>20</v>
      </c>
    </row>
    <row r="477" spans="1:18" x14ac:dyDescent="0.25">
      <c r="A477">
        <v>642504</v>
      </c>
      <c r="B477" t="s">
        <v>16</v>
      </c>
      <c r="C477" t="s">
        <v>16</v>
      </c>
      <c r="D477" t="s">
        <v>735</v>
      </c>
      <c r="E477" t="s">
        <v>16</v>
      </c>
      <c r="F477" t="s">
        <v>16</v>
      </c>
      <c r="G477">
        <v>0</v>
      </c>
      <c r="H477" t="s">
        <v>16</v>
      </c>
      <c r="I477" t="s">
        <v>16</v>
      </c>
      <c r="J477">
        <v>642504</v>
      </c>
      <c r="K477" t="s">
        <v>186</v>
      </c>
      <c r="L477" s="1">
        <v>42459.338194444441</v>
      </c>
      <c r="M477" s="1">
        <v>42459</v>
      </c>
      <c r="N477" s="3">
        <f>INT(BrightTV_JoinedTablesnw_2026_04_16_23_55_09[[#This Row],[Viewership.RecordDate22]])</f>
        <v>42459</v>
      </c>
      <c r="O477" s="2">
        <v>0.33819444444444446</v>
      </c>
      <c r="P477" t="s">
        <v>736</v>
      </c>
      <c r="Q477">
        <v>642504</v>
      </c>
      <c r="R477" t="s">
        <v>20</v>
      </c>
    </row>
    <row r="478" spans="1:18" x14ac:dyDescent="0.25">
      <c r="A478">
        <v>809048</v>
      </c>
      <c r="B478" t="s">
        <v>622</v>
      </c>
      <c r="C478" t="s">
        <v>361</v>
      </c>
      <c r="D478" t="s">
        <v>737</v>
      </c>
      <c r="E478" t="s">
        <v>38</v>
      </c>
      <c r="F478" t="s">
        <v>106</v>
      </c>
      <c r="G478">
        <v>46</v>
      </c>
      <c r="H478" t="s">
        <v>138</v>
      </c>
      <c r="I478" t="s">
        <v>624</v>
      </c>
      <c r="J478">
        <v>809048</v>
      </c>
      <c r="K478" t="s">
        <v>47</v>
      </c>
      <c r="L478" s="1">
        <v>42419.57708333333</v>
      </c>
      <c r="M478" s="1">
        <v>42419</v>
      </c>
      <c r="N478" s="3">
        <f>INT(BrightTV_JoinedTablesnw_2026_04_16_23_55_09[[#This Row],[Viewership.RecordDate22]])</f>
        <v>42419</v>
      </c>
      <c r="O478" s="2">
        <v>0.57708333333333328</v>
      </c>
      <c r="P478" t="s">
        <v>667</v>
      </c>
      <c r="Q478">
        <v>809048</v>
      </c>
      <c r="R478" t="s">
        <v>20</v>
      </c>
    </row>
    <row r="479" spans="1:18" x14ac:dyDescent="0.25">
      <c r="A479">
        <v>809048</v>
      </c>
      <c r="B479" t="s">
        <v>622</v>
      </c>
      <c r="C479" t="s">
        <v>361</v>
      </c>
      <c r="D479" t="s">
        <v>737</v>
      </c>
      <c r="E479" t="s">
        <v>38</v>
      </c>
      <c r="F479" t="s">
        <v>106</v>
      </c>
      <c r="G479">
        <v>46</v>
      </c>
      <c r="H479" t="s">
        <v>138</v>
      </c>
      <c r="I479" t="s">
        <v>624</v>
      </c>
      <c r="J479">
        <v>809048</v>
      </c>
      <c r="K479" t="s">
        <v>18</v>
      </c>
      <c r="L479" s="1">
        <v>42424.707638888889</v>
      </c>
      <c r="M479" s="1">
        <v>42424</v>
      </c>
      <c r="N479" s="3">
        <f>INT(BrightTV_JoinedTablesnw_2026_04_16_23_55_09[[#This Row],[Viewership.RecordDate22]])</f>
        <v>42424</v>
      </c>
      <c r="O479" s="2">
        <v>0.70763888888888893</v>
      </c>
      <c r="P479" t="s">
        <v>738</v>
      </c>
      <c r="Q479">
        <v>809048</v>
      </c>
      <c r="R479" t="s">
        <v>20</v>
      </c>
    </row>
    <row r="480" spans="1:18" x14ac:dyDescent="0.25">
      <c r="A480">
        <v>809048</v>
      </c>
      <c r="B480" t="s">
        <v>622</v>
      </c>
      <c r="C480" t="s">
        <v>361</v>
      </c>
      <c r="D480" t="s">
        <v>737</v>
      </c>
      <c r="E480" t="s">
        <v>38</v>
      </c>
      <c r="F480" t="s">
        <v>106</v>
      </c>
      <c r="G480">
        <v>46</v>
      </c>
      <c r="H480" t="s">
        <v>138</v>
      </c>
      <c r="I480" t="s">
        <v>624</v>
      </c>
      <c r="J480">
        <v>809048</v>
      </c>
      <c r="K480" t="s">
        <v>129</v>
      </c>
      <c r="L480" s="1">
        <v>42403.496527777781</v>
      </c>
      <c r="M480" s="1">
        <v>42403</v>
      </c>
      <c r="N480" s="3">
        <f>INT(BrightTV_JoinedTablesnw_2026_04_16_23_55_09[[#This Row],[Viewership.RecordDate22]])</f>
        <v>42403</v>
      </c>
      <c r="O480" s="2">
        <v>0.49652777777777779</v>
      </c>
      <c r="P480" t="s">
        <v>313</v>
      </c>
      <c r="Q480">
        <v>809048</v>
      </c>
      <c r="R480" t="s">
        <v>20</v>
      </c>
    </row>
    <row r="481" spans="1:18" x14ac:dyDescent="0.25">
      <c r="A481">
        <v>809048</v>
      </c>
      <c r="B481" t="s">
        <v>622</v>
      </c>
      <c r="C481" t="s">
        <v>361</v>
      </c>
      <c r="D481" t="s">
        <v>737</v>
      </c>
      <c r="E481" t="s">
        <v>38</v>
      </c>
      <c r="F481" t="s">
        <v>106</v>
      </c>
      <c r="G481">
        <v>46</v>
      </c>
      <c r="H481" t="s">
        <v>138</v>
      </c>
      <c r="I481" t="s">
        <v>624</v>
      </c>
      <c r="J481">
        <v>809048</v>
      </c>
      <c r="K481" t="s">
        <v>32</v>
      </c>
      <c r="L481" s="1">
        <v>42403.503472222219</v>
      </c>
      <c r="M481" s="1">
        <v>42403</v>
      </c>
      <c r="N481" s="3">
        <f>INT(BrightTV_JoinedTablesnw_2026_04_16_23_55_09[[#This Row],[Viewership.RecordDate22]])</f>
        <v>42403</v>
      </c>
      <c r="O481" s="2">
        <v>0.50347222222222221</v>
      </c>
      <c r="P481" t="s">
        <v>739</v>
      </c>
      <c r="Q481">
        <v>809048</v>
      </c>
      <c r="R481" t="s">
        <v>20</v>
      </c>
    </row>
    <row r="482" spans="1:18" x14ac:dyDescent="0.25">
      <c r="A482">
        <v>809048</v>
      </c>
      <c r="B482" t="s">
        <v>622</v>
      </c>
      <c r="C482" t="s">
        <v>361</v>
      </c>
      <c r="D482" t="s">
        <v>737</v>
      </c>
      <c r="E482" t="s">
        <v>38</v>
      </c>
      <c r="F482" t="s">
        <v>106</v>
      </c>
      <c r="G482">
        <v>46</v>
      </c>
      <c r="H482" t="s">
        <v>138</v>
      </c>
      <c r="I482" t="s">
        <v>624</v>
      </c>
      <c r="J482">
        <v>809048</v>
      </c>
      <c r="K482" t="s">
        <v>18</v>
      </c>
      <c r="L482" s="1">
        <v>42438.637499999997</v>
      </c>
      <c r="M482" s="1">
        <v>42438</v>
      </c>
      <c r="N482" s="3">
        <f>INT(BrightTV_JoinedTablesnw_2026_04_16_23_55_09[[#This Row],[Viewership.RecordDate22]])</f>
        <v>42438</v>
      </c>
      <c r="O482" s="2">
        <v>0.63749999999999996</v>
      </c>
      <c r="P482" t="s">
        <v>740</v>
      </c>
      <c r="Q482">
        <v>809048</v>
      </c>
      <c r="R482" t="s">
        <v>20</v>
      </c>
    </row>
    <row r="483" spans="1:18" x14ac:dyDescent="0.25">
      <c r="A483">
        <v>624257</v>
      </c>
      <c r="B483" t="s">
        <v>366</v>
      </c>
      <c r="C483" t="s">
        <v>22</v>
      </c>
      <c r="D483" t="s">
        <v>741</v>
      </c>
      <c r="E483" t="s">
        <v>38</v>
      </c>
      <c r="F483" t="s">
        <v>39</v>
      </c>
      <c r="G483">
        <v>25</v>
      </c>
      <c r="H483" t="s">
        <v>40</v>
      </c>
      <c r="I483" t="s">
        <v>368</v>
      </c>
      <c r="J483">
        <v>624257</v>
      </c>
      <c r="K483" t="s">
        <v>84</v>
      </c>
      <c r="L483" s="1">
        <v>42381.504861111112</v>
      </c>
      <c r="M483" s="1">
        <v>42381</v>
      </c>
      <c r="N483" s="3">
        <f>INT(BrightTV_JoinedTablesnw_2026_04_16_23_55_09[[#This Row],[Viewership.RecordDate22]])</f>
        <v>42381</v>
      </c>
      <c r="O483" s="2">
        <v>0.50486111111111109</v>
      </c>
      <c r="P483" t="s">
        <v>145</v>
      </c>
      <c r="Q483">
        <v>624257</v>
      </c>
      <c r="R483" t="s">
        <v>20</v>
      </c>
    </row>
    <row r="484" spans="1:18" x14ac:dyDescent="0.25">
      <c r="A484">
        <v>624257</v>
      </c>
      <c r="B484" t="s">
        <v>366</v>
      </c>
      <c r="C484" t="s">
        <v>22</v>
      </c>
      <c r="D484" t="s">
        <v>741</v>
      </c>
      <c r="E484" t="s">
        <v>38</v>
      </c>
      <c r="F484" t="s">
        <v>39</v>
      </c>
      <c r="G484">
        <v>25</v>
      </c>
      <c r="H484" t="s">
        <v>40</v>
      </c>
      <c r="I484" t="s">
        <v>368</v>
      </c>
      <c r="J484">
        <v>624257</v>
      </c>
      <c r="K484" t="s">
        <v>77</v>
      </c>
      <c r="L484" s="1">
        <v>42380.637499999997</v>
      </c>
      <c r="M484" s="1">
        <v>42380</v>
      </c>
      <c r="N484" s="3">
        <f>INT(BrightTV_JoinedTablesnw_2026_04_16_23_55_09[[#This Row],[Viewership.RecordDate22]])</f>
        <v>42380</v>
      </c>
      <c r="O484" s="2">
        <v>0.63749999999999996</v>
      </c>
      <c r="P484" t="s">
        <v>742</v>
      </c>
      <c r="Q484">
        <v>624257</v>
      </c>
      <c r="R484" t="s">
        <v>20</v>
      </c>
    </row>
    <row r="485" spans="1:18" x14ac:dyDescent="0.25">
      <c r="A485">
        <v>624257</v>
      </c>
      <c r="B485" t="s">
        <v>366</v>
      </c>
      <c r="C485" t="s">
        <v>22</v>
      </c>
      <c r="D485" t="s">
        <v>741</v>
      </c>
      <c r="E485" t="s">
        <v>38</v>
      </c>
      <c r="F485" t="s">
        <v>39</v>
      </c>
      <c r="G485">
        <v>25</v>
      </c>
      <c r="H485" t="s">
        <v>40</v>
      </c>
      <c r="I485" t="s">
        <v>368</v>
      </c>
      <c r="J485">
        <v>624257</v>
      </c>
      <c r="K485" t="s">
        <v>152</v>
      </c>
      <c r="L485" s="1">
        <v>42380.936805555553</v>
      </c>
      <c r="M485" s="1">
        <v>42380</v>
      </c>
      <c r="N485" s="3">
        <f>INT(BrightTV_JoinedTablesnw_2026_04_16_23_55_09[[#This Row],[Viewership.RecordDate22]])</f>
        <v>42380</v>
      </c>
      <c r="O485" s="2">
        <v>0.93680555555555556</v>
      </c>
      <c r="P485" t="s">
        <v>275</v>
      </c>
      <c r="Q485">
        <v>624257</v>
      </c>
      <c r="R485" t="s">
        <v>20</v>
      </c>
    </row>
    <row r="486" spans="1:18" x14ac:dyDescent="0.25">
      <c r="A486">
        <v>624257</v>
      </c>
      <c r="B486" t="s">
        <v>366</v>
      </c>
      <c r="C486" t="s">
        <v>22</v>
      </c>
      <c r="D486" t="s">
        <v>741</v>
      </c>
      <c r="E486" t="s">
        <v>38</v>
      </c>
      <c r="F486" t="s">
        <v>39</v>
      </c>
      <c r="G486">
        <v>25</v>
      </c>
      <c r="H486" t="s">
        <v>40</v>
      </c>
      <c r="I486" t="s">
        <v>368</v>
      </c>
      <c r="J486">
        <v>624257</v>
      </c>
      <c r="K486" t="s">
        <v>47</v>
      </c>
      <c r="L486" s="1">
        <v>42378.73333333333</v>
      </c>
      <c r="M486" s="1">
        <v>42378</v>
      </c>
      <c r="N486" s="3">
        <f>INT(BrightTV_JoinedTablesnw_2026_04_16_23_55_09[[#This Row],[Viewership.RecordDate22]])</f>
        <v>42378</v>
      </c>
      <c r="O486" s="2">
        <v>0.73333333333333328</v>
      </c>
      <c r="P486" t="s">
        <v>64</v>
      </c>
      <c r="Q486">
        <v>624257</v>
      </c>
      <c r="R486" t="s">
        <v>20</v>
      </c>
    </row>
    <row r="487" spans="1:18" x14ac:dyDescent="0.25">
      <c r="A487">
        <v>779500</v>
      </c>
      <c r="B487" t="s">
        <v>441</v>
      </c>
      <c r="C487" t="s">
        <v>743</v>
      </c>
      <c r="D487" t="s">
        <v>442</v>
      </c>
      <c r="E487" t="s">
        <v>38</v>
      </c>
      <c r="F487" t="s">
        <v>25</v>
      </c>
      <c r="G487">
        <v>33</v>
      </c>
      <c r="H487" t="s">
        <v>60</v>
      </c>
      <c r="I487" t="s">
        <v>443</v>
      </c>
      <c r="J487">
        <v>779500</v>
      </c>
      <c r="K487" t="s">
        <v>69</v>
      </c>
      <c r="L487" s="1">
        <v>42414.333333333336</v>
      </c>
      <c r="M487" s="1">
        <v>42414</v>
      </c>
      <c r="N487" s="3">
        <f>INT(BrightTV_JoinedTablesnw_2026_04_16_23_55_09[[#This Row],[Viewership.RecordDate22]])</f>
        <v>42414</v>
      </c>
      <c r="O487" s="2">
        <v>0.33333333333333331</v>
      </c>
      <c r="P487" t="s">
        <v>322</v>
      </c>
      <c r="Q487">
        <v>779500</v>
      </c>
      <c r="R487" t="s">
        <v>20</v>
      </c>
    </row>
    <row r="488" spans="1:18" x14ac:dyDescent="0.25">
      <c r="A488">
        <v>779500</v>
      </c>
      <c r="B488" t="s">
        <v>441</v>
      </c>
      <c r="C488" t="s">
        <v>743</v>
      </c>
      <c r="D488" t="s">
        <v>442</v>
      </c>
      <c r="E488" t="s">
        <v>38</v>
      </c>
      <c r="F488" t="s">
        <v>25</v>
      </c>
      <c r="G488">
        <v>33</v>
      </c>
      <c r="H488" t="s">
        <v>60</v>
      </c>
      <c r="I488" t="s">
        <v>443</v>
      </c>
      <c r="J488">
        <v>779500</v>
      </c>
      <c r="K488" t="s">
        <v>30</v>
      </c>
      <c r="L488" s="1">
        <v>42402.746527777781</v>
      </c>
      <c r="M488" s="1">
        <v>42402</v>
      </c>
      <c r="N488" s="3">
        <f>INT(BrightTV_JoinedTablesnw_2026_04_16_23_55_09[[#This Row],[Viewership.RecordDate22]])</f>
        <v>42402</v>
      </c>
      <c r="O488" s="2">
        <v>0.74652777777777779</v>
      </c>
      <c r="P488" t="s">
        <v>744</v>
      </c>
      <c r="Q488">
        <v>779500</v>
      </c>
      <c r="R488" t="s">
        <v>20</v>
      </c>
    </row>
    <row r="489" spans="1:18" x14ac:dyDescent="0.25">
      <c r="A489">
        <v>629727</v>
      </c>
      <c r="B489" t="s">
        <v>154</v>
      </c>
      <c r="C489" t="s">
        <v>116</v>
      </c>
      <c r="D489" t="s">
        <v>555</v>
      </c>
      <c r="E489" t="s">
        <v>38</v>
      </c>
      <c r="F489" t="s">
        <v>39</v>
      </c>
      <c r="G489">
        <v>42</v>
      </c>
      <c r="H489" t="s">
        <v>40</v>
      </c>
      <c r="I489" t="s">
        <v>157</v>
      </c>
      <c r="J489">
        <v>629727</v>
      </c>
      <c r="K489" t="s">
        <v>54</v>
      </c>
      <c r="L489" s="1">
        <v>42384.407638888886</v>
      </c>
      <c r="M489" s="1">
        <v>42384</v>
      </c>
      <c r="N489" s="3">
        <f>INT(BrightTV_JoinedTablesnw_2026_04_16_23_55_09[[#This Row],[Viewership.RecordDate22]])</f>
        <v>42384</v>
      </c>
      <c r="O489" s="2">
        <v>0.40763888888888888</v>
      </c>
      <c r="P489" t="s">
        <v>145</v>
      </c>
      <c r="Q489">
        <v>629727</v>
      </c>
      <c r="R489" t="s">
        <v>20</v>
      </c>
    </row>
    <row r="490" spans="1:18" x14ac:dyDescent="0.25">
      <c r="A490">
        <v>635874</v>
      </c>
      <c r="B490" t="s">
        <v>441</v>
      </c>
      <c r="C490" t="s">
        <v>148</v>
      </c>
      <c r="D490" t="s">
        <v>745</v>
      </c>
      <c r="E490" t="s">
        <v>38</v>
      </c>
      <c r="F490" t="s">
        <v>39</v>
      </c>
      <c r="G490">
        <v>42</v>
      </c>
      <c r="H490" t="s">
        <v>52</v>
      </c>
      <c r="I490" t="s">
        <v>443</v>
      </c>
      <c r="J490">
        <v>635874</v>
      </c>
      <c r="K490" t="s">
        <v>169</v>
      </c>
      <c r="L490" s="1">
        <v>42383.829861111109</v>
      </c>
      <c r="M490" s="1">
        <v>42383</v>
      </c>
      <c r="N490" s="3">
        <f>INT(BrightTV_JoinedTablesnw_2026_04_16_23_55_09[[#This Row],[Viewership.RecordDate22]])</f>
        <v>42383</v>
      </c>
      <c r="O490" s="2">
        <v>0.82986111111111116</v>
      </c>
      <c r="P490" t="s">
        <v>746</v>
      </c>
      <c r="Q490">
        <v>635874</v>
      </c>
      <c r="R490" t="s">
        <v>20</v>
      </c>
    </row>
    <row r="491" spans="1:18" x14ac:dyDescent="0.25">
      <c r="A491">
        <v>635874</v>
      </c>
      <c r="B491" t="s">
        <v>441</v>
      </c>
      <c r="C491" t="s">
        <v>148</v>
      </c>
      <c r="D491" t="s">
        <v>745</v>
      </c>
      <c r="E491" t="s">
        <v>38</v>
      </c>
      <c r="F491" t="s">
        <v>39</v>
      </c>
      <c r="G491">
        <v>42</v>
      </c>
      <c r="H491" t="s">
        <v>52</v>
      </c>
      <c r="I491" t="s">
        <v>443</v>
      </c>
      <c r="J491">
        <v>635874</v>
      </c>
      <c r="K491" t="s">
        <v>54</v>
      </c>
      <c r="L491" s="1">
        <v>42388.977083333331</v>
      </c>
      <c r="M491" s="1">
        <v>42388</v>
      </c>
      <c r="N491" s="3">
        <f>INT(BrightTV_JoinedTablesnw_2026_04_16_23_55_09[[#This Row],[Viewership.RecordDate22]])</f>
        <v>42388</v>
      </c>
      <c r="O491" s="2">
        <v>0.9770833333333333</v>
      </c>
      <c r="P491" t="s">
        <v>747</v>
      </c>
      <c r="Q491">
        <v>635874</v>
      </c>
      <c r="R491" t="s">
        <v>20</v>
      </c>
    </row>
    <row r="492" spans="1:18" x14ac:dyDescent="0.25">
      <c r="A492">
        <v>638935</v>
      </c>
      <c r="B492" t="s">
        <v>16</v>
      </c>
      <c r="C492" t="s">
        <v>16</v>
      </c>
      <c r="D492" t="s">
        <v>748</v>
      </c>
      <c r="E492" t="s">
        <v>16</v>
      </c>
      <c r="F492" t="s">
        <v>16</v>
      </c>
      <c r="G492">
        <v>0</v>
      </c>
      <c r="H492" t="s">
        <v>16</v>
      </c>
      <c r="I492" t="s">
        <v>16</v>
      </c>
      <c r="J492">
        <v>638935</v>
      </c>
      <c r="K492" t="s">
        <v>84</v>
      </c>
      <c r="L492" s="1">
        <v>42390.615972222222</v>
      </c>
      <c r="M492" s="1">
        <v>42390</v>
      </c>
      <c r="N492" s="3">
        <f>INT(BrightTV_JoinedTablesnw_2026_04_16_23_55_09[[#This Row],[Viewership.RecordDate22]])</f>
        <v>42390</v>
      </c>
      <c r="O492" s="2">
        <v>0.61597222222222225</v>
      </c>
      <c r="P492" t="s">
        <v>749</v>
      </c>
      <c r="Q492">
        <v>638935</v>
      </c>
      <c r="R492" t="s">
        <v>20</v>
      </c>
    </row>
    <row r="493" spans="1:18" x14ac:dyDescent="0.25">
      <c r="A493">
        <v>789241</v>
      </c>
      <c r="B493" t="s">
        <v>65</v>
      </c>
      <c r="C493" t="s">
        <v>293</v>
      </c>
      <c r="D493" t="s">
        <v>67</v>
      </c>
      <c r="E493" t="s">
        <v>38</v>
      </c>
      <c r="F493" t="s">
        <v>96</v>
      </c>
      <c r="G493">
        <v>25</v>
      </c>
      <c r="H493" t="s">
        <v>173</v>
      </c>
      <c r="I493" t="s">
        <v>68</v>
      </c>
      <c r="J493">
        <v>789241</v>
      </c>
      <c r="K493" t="s">
        <v>30</v>
      </c>
      <c r="L493" s="1">
        <v>42413.431944444441</v>
      </c>
      <c r="M493" s="1">
        <v>42413</v>
      </c>
      <c r="N493" s="3">
        <f>INT(BrightTV_JoinedTablesnw_2026_04_16_23_55_09[[#This Row],[Viewership.RecordDate22]])</f>
        <v>42413</v>
      </c>
      <c r="O493" s="2">
        <v>0.43194444444444446</v>
      </c>
      <c r="P493" t="s">
        <v>750</v>
      </c>
      <c r="Q493">
        <v>789241</v>
      </c>
      <c r="R493" t="s">
        <v>20</v>
      </c>
    </row>
    <row r="494" spans="1:18" x14ac:dyDescent="0.25">
      <c r="A494">
        <v>641735</v>
      </c>
      <c r="B494" t="s">
        <v>86</v>
      </c>
      <c r="C494" t="s">
        <v>36</v>
      </c>
      <c r="D494" t="s">
        <v>751</v>
      </c>
      <c r="E494" t="s">
        <v>38</v>
      </c>
      <c r="F494" t="s">
        <v>39</v>
      </c>
      <c r="G494">
        <v>22</v>
      </c>
      <c r="H494" t="s">
        <v>40</v>
      </c>
      <c r="I494" t="s">
        <v>90</v>
      </c>
      <c r="J494">
        <v>641735</v>
      </c>
      <c r="K494" t="s">
        <v>84</v>
      </c>
      <c r="L494" s="1">
        <v>42390.868750000001</v>
      </c>
      <c r="M494" s="1">
        <v>42390</v>
      </c>
      <c r="N494" s="3">
        <f>INT(BrightTV_JoinedTablesnw_2026_04_16_23_55_09[[#This Row],[Viewership.RecordDate22]])</f>
        <v>42390</v>
      </c>
      <c r="O494" s="2">
        <v>0.86875000000000002</v>
      </c>
      <c r="P494" t="s">
        <v>705</v>
      </c>
      <c r="Q494">
        <v>641735</v>
      </c>
      <c r="R494" t="s">
        <v>20</v>
      </c>
    </row>
    <row r="495" spans="1:18" x14ac:dyDescent="0.25">
      <c r="A495">
        <v>641735</v>
      </c>
      <c r="B495" t="s">
        <v>86</v>
      </c>
      <c r="C495" t="s">
        <v>36</v>
      </c>
      <c r="D495" t="s">
        <v>751</v>
      </c>
      <c r="E495" t="s">
        <v>38</v>
      </c>
      <c r="F495" t="s">
        <v>39</v>
      </c>
      <c r="G495">
        <v>22</v>
      </c>
      <c r="H495" t="s">
        <v>40</v>
      </c>
      <c r="I495" t="s">
        <v>90</v>
      </c>
      <c r="J495">
        <v>641735</v>
      </c>
      <c r="K495" t="s">
        <v>62</v>
      </c>
      <c r="L495" s="1">
        <v>42400.436805555553</v>
      </c>
      <c r="M495" s="1">
        <v>42400</v>
      </c>
      <c r="N495" s="3">
        <f>INT(BrightTV_JoinedTablesnw_2026_04_16_23_55_09[[#This Row],[Viewership.RecordDate22]])</f>
        <v>42400</v>
      </c>
      <c r="O495" s="2">
        <v>0.43680555555555556</v>
      </c>
      <c r="P495" t="s">
        <v>752</v>
      </c>
      <c r="Q495">
        <v>641735</v>
      </c>
      <c r="R495" t="s">
        <v>20</v>
      </c>
    </row>
    <row r="496" spans="1:18" x14ac:dyDescent="0.25">
      <c r="A496">
        <v>652906</v>
      </c>
      <c r="B496" t="s">
        <v>723</v>
      </c>
      <c r="C496" t="s">
        <v>250</v>
      </c>
      <c r="D496" t="s">
        <v>753</v>
      </c>
      <c r="E496" t="s">
        <v>38</v>
      </c>
      <c r="F496" t="s">
        <v>96</v>
      </c>
      <c r="G496">
        <v>43</v>
      </c>
      <c r="H496" t="s">
        <v>60</v>
      </c>
      <c r="I496" t="s">
        <v>725</v>
      </c>
      <c r="J496">
        <v>652906</v>
      </c>
      <c r="K496" t="s">
        <v>186</v>
      </c>
      <c r="L496" s="1">
        <v>42387.799305555556</v>
      </c>
      <c r="M496" s="1">
        <v>42387</v>
      </c>
      <c r="N496" s="3">
        <f>INT(BrightTV_JoinedTablesnw_2026_04_16_23_55_09[[#This Row],[Viewership.RecordDate22]])</f>
        <v>42387</v>
      </c>
      <c r="O496" s="2">
        <v>0.7993055555555556</v>
      </c>
      <c r="P496" t="s">
        <v>211</v>
      </c>
      <c r="Q496">
        <v>652906</v>
      </c>
      <c r="R496" t="s">
        <v>20</v>
      </c>
    </row>
    <row r="497" spans="1:18" x14ac:dyDescent="0.25">
      <c r="A497">
        <v>652906</v>
      </c>
      <c r="B497" t="s">
        <v>723</v>
      </c>
      <c r="C497" t="s">
        <v>250</v>
      </c>
      <c r="D497" t="s">
        <v>753</v>
      </c>
      <c r="E497" t="s">
        <v>38</v>
      </c>
      <c r="F497" t="s">
        <v>96</v>
      </c>
      <c r="G497">
        <v>43</v>
      </c>
      <c r="H497" t="s">
        <v>60</v>
      </c>
      <c r="I497" t="s">
        <v>725</v>
      </c>
      <c r="J497">
        <v>652906</v>
      </c>
      <c r="K497" t="s">
        <v>47</v>
      </c>
      <c r="L497" s="1">
        <v>42388.375694444447</v>
      </c>
      <c r="M497" s="1">
        <v>42388</v>
      </c>
      <c r="N497" s="3">
        <f>INT(BrightTV_JoinedTablesnw_2026_04_16_23_55_09[[#This Row],[Viewership.RecordDate22]])</f>
        <v>42388</v>
      </c>
      <c r="O497" s="2">
        <v>0.37569444444444444</v>
      </c>
      <c r="P497" t="s">
        <v>371</v>
      </c>
      <c r="Q497">
        <v>652906</v>
      </c>
      <c r="R497" t="s">
        <v>20</v>
      </c>
    </row>
    <row r="498" spans="1:18" x14ac:dyDescent="0.25">
      <c r="A498">
        <v>652906</v>
      </c>
      <c r="B498" t="s">
        <v>723</v>
      </c>
      <c r="C498" t="s">
        <v>250</v>
      </c>
      <c r="D498" t="s">
        <v>753</v>
      </c>
      <c r="E498" t="s">
        <v>38</v>
      </c>
      <c r="F498" t="s">
        <v>96</v>
      </c>
      <c r="G498">
        <v>43</v>
      </c>
      <c r="H498" t="s">
        <v>60</v>
      </c>
      <c r="I498" t="s">
        <v>725</v>
      </c>
      <c r="J498">
        <v>652906</v>
      </c>
      <c r="K498" t="s">
        <v>186</v>
      </c>
      <c r="L498" s="1">
        <v>42388.379861111112</v>
      </c>
      <c r="M498" s="1">
        <v>42388</v>
      </c>
      <c r="N498" s="3">
        <f>INT(BrightTV_JoinedTablesnw_2026_04_16_23_55_09[[#This Row],[Viewership.RecordDate22]])</f>
        <v>42388</v>
      </c>
      <c r="O498" s="2">
        <v>0.37986111111111109</v>
      </c>
      <c r="P498" t="s">
        <v>754</v>
      </c>
      <c r="Q498">
        <v>652906</v>
      </c>
      <c r="R498" t="s">
        <v>20</v>
      </c>
    </row>
    <row r="499" spans="1:18" x14ac:dyDescent="0.25">
      <c r="A499">
        <v>809056</v>
      </c>
      <c r="B499" t="s">
        <v>228</v>
      </c>
      <c r="C499" t="s">
        <v>155</v>
      </c>
      <c r="D499" t="s">
        <v>229</v>
      </c>
      <c r="E499" t="s">
        <v>38</v>
      </c>
      <c r="F499" t="s">
        <v>96</v>
      </c>
      <c r="G499">
        <v>43</v>
      </c>
      <c r="H499" t="s">
        <v>60</v>
      </c>
      <c r="I499" t="s">
        <v>230</v>
      </c>
      <c r="J499">
        <v>809056</v>
      </c>
      <c r="K499" t="s">
        <v>32</v>
      </c>
      <c r="L499" s="1">
        <v>42405.688194444447</v>
      </c>
      <c r="M499" s="1">
        <v>42405</v>
      </c>
      <c r="N499" s="3">
        <f>INT(BrightTV_JoinedTablesnw_2026_04_16_23_55_09[[#This Row],[Viewership.RecordDate22]])</f>
        <v>42405</v>
      </c>
      <c r="O499" s="2">
        <v>0.68819444444444444</v>
      </c>
      <c r="P499" t="s">
        <v>755</v>
      </c>
      <c r="Q499">
        <v>809056</v>
      </c>
      <c r="R499" t="s">
        <v>20</v>
      </c>
    </row>
    <row r="500" spans="1:18" x14ac:dyDescent="0.25">
      <c r="A500">
        <v>809056</v>
      </c>
      <c r="B500" t="s">
        <v>228</v>
      </c>
      <c r="C500" t="s">
        <v>155</v>
      </c>
      <c r="D500" t="s">
        <v>229</v>
      </c>
      <c r="E500" t="s">
        <v>38</v>
      </c>
      <c r="F500" t="s">
        <v>96</v>
      </c>
      <c r="G500">
        <v>43</v>
      </c>
      <c r="H500" t="s">
        <v>60</v>
      </c>
      <c r="I500" t="s">
        <v>230</v>
      </c>
      <c r="J500">
        <v>809056</v>
      </c>
      <c r="K500" t="s">
        <v>18</v>
      </c>
      <c r="L500" s="1">
        <v>42426.543055555558</v>
      </c>
      <c r="M500" s="1">
        <v>42426</v>
      </c>
      <c r="N500" s="3">
        <f>INT(BrightTV_JoinedTablesnw_2026_04_16_23_55_09[[#This Row],[Viewership.RecordDate22]])</f>
        <v>42426</v>
      </c>
      <c r="O500" s="2">
        <v>0.54305555555555551</v>
      </c>
      <c r="P500" t="s">
        <v>459</v>
      </c>
      <c r="Q500">
        <v>809056</v>
      </c>
      <c r="R500" t="s">
        <v>20</v>
      </c>
    </row>
    <row r="501" spans="1:18" x14ac:dyDescent="0.25">
      <c r="A501">
        <v>809056</v>
      </c>
      <c r="B501" t="s">
        <v>228</v>
      </c>
      <c r="C501" t="s">
        <v>155</v>
      </c>
      <c r="D501" t="s">
        <v>229</v>
      </c>
      <c r="E501" t="s">
        <v>38</v>
      </c>
      <c r="F501" t="s">
        <v>96</v>
      </c>
      <c r="G501">
        <v>43</v>
      </c>
      <c r="H501" t="s">
        <v>60</v>
      </c>
      <c r="I501" t="s">
        <v>230</v>
      </c>
      <c r="J501">
        <v>809056</v>
      </c>
      <c r="K501" t="s">
        <v>62</v>
      </c>
      <c r="L501" s="1">
        <v>42415.743055555555</v>
      </c>
      <c r="M501" s="1">
        <v>42415</v>
      </c>
      <c r="N501" s="3">
        <f>INT(BrightTV_JoinedTablesnw_2026_04_16_23_55_09[[#This Row],[Viewership.RecordDate22]])</f>
        <v>42415</v>
      </c>
      <c r="O501" s="2">
        <v>0.74305555555555558</v>
      </c>
      <c r="P501" t="s">
        <v>756</v>
      </c>
      <c r="Q501">
        <v>809056</v>
      </c>
      <c r="R501" t="s">
        <v>20</v>
      </c>
    </row>
    <row r="502" spans="1:18" x14ac:dyDescent="0.25">
      <c r="A502">
        <v>809056</v>
      </c>
      <c r="B502" t="s">
        <v>228</v>
      </c>
      <c r="C502" t="s">
        <v>155</v>
      </c>
      <c r="D502" t="s">
        <v>229</v>
      </c>
      <c r="E502" t="s">
        <v>38</v>
      </c>
      <c r="F502" t="s">
        <v>96</v>
      </c>
      <c r="G502">
        <v>43</v>
      </c>
      <c r="H502" t="s">
        <v>60</v>
      </c>
      <c r="I502" t="s">
        <v>230</v>
      </c>
      <c r="J502">
        <v>809056</v>
      </c>
      <c r="K502" t="s">
        <v>77</v>
      </c>
      <c r="L502" s="1">
        <v>42420.478472222225</v>
      </c>
      <c r="M502" s="1">
        <v>42420</v>
      </c>
      <c r="N502" s="3">
        <f>INT(BrightTV_JoinedTablesnw_2026_04_16_23_55_09[[#This Row],[Viewership.RecordDate22]])</f>
        <v>42420</v>
      </c>
      <c r="O502" s="2">
        <v>0.47847222222222224</v>
      </c>
      <c r="P502" t="s">
        <v>692</v>
      </c>
      <c r="Q502">
        <v>809056</v>
      </c>
      <c r="R502" t="s">
        <v>20</v>
      </c>
    </row>
    <row r="503" spans="1:18" x14ac:dyDescent="0.25">
      <c r="A503">
        <v>809056</v>
      </c>
      <c r="B503" t="s">
        <v>228</v>
      </c>
      <c r="C503" t="s">
        <v>155</v>
      </c>
      <c r="D503" t="s">
        <v>229</v>
      </c>
      <c r="E503" t="s">
        <v>38</v>
      </c>
      <c r="F503" t="s">
        <v>96</v>
      </c>
      <c r="G503">
        <v>43</v>
      </c>
      <c r="H503" t="s">
        <v>60</v>
      </c>
      <c r="I503" t="s">
        <v>230</v>
      </c>
      <c r="J503">
        <v>809056</v>
      </c>
      <c r="K503" t="s">
        <v>54</v>
      </c>
      <c r="L503" s="1">
        <v>42420.479861111111</v>
      </c>
      <c r="M503" s="1">
        <v>42420</v>
      </c>
      <c r="N503" s="3">
        <f>INT(BrightTV_JoinedTablesnw_2026_04_16_23_55_09[[#This Row],[Viewership.RecordDate22]])</f>
        <v>42420</v>
      </c>
      <c r="O503" s="2">
        <v>0.47986111111111113</v>
      </c>
      <c r="P503" t="s">
        <v>140</v>
      </c>
      <c r="Q503">
        <v>809056</v>
      </c>
      <c r="R503" t="s">
        <v>20</v>
      </c>
    </row>
    <row r="504" spans="1:18" x14ac:dyDescent="0.25">
      <c r="A504">
        <v>809056</v>
      </c>
      <c r="B504" t="s">
        <v>228</v>
      </c>
      <c r="C504" t="s">
        <v>155</v>
      </c>
      <c r="D504" t="s">
        <v>229</v>
      </c>
      <c r="E504" t="s">
        <v>38</v>
      </c>
      <c r="F504" t="s">
        <v>96</v>
      </c>
      <c r="G504">
        <v>43</v>
      </c>
      <c r="H504" t="s">
        <v>60</v>
      </c>
      <c r="I504" t="s">
        <v>230</v>
      </c>
      <c r="J504">
        <v>809056</v>
      </c>
      <c r="K504" t="s">
        <v>32</v>
      </c>
      <c r="L504" s="1">
        <v>42414.560416666667</v>
      </c>
      <c r="M504" s="1">
        <v>42414</v>
      </c>
      <c r="N504" s="3">
        <f>INT(BrightTV_JoinedTablesnw_2026_04_16_23_55_09[[#This Row],[Viewership.RecordDate22]])</f>
        <v>42414</v>
      </c>
      <c r="O504" s="2">
        <v>0.56041666666666667</v>
      </c>
      <c r="P504" t="s">
        <v>757</v>
      </c>
      <c r="Q504">
        <v>809056</v>
      </c>
      <c r="R504" t="s">
        <v>20</v>
      </c>
    </row>
    <row r="505" spans="1:18" x14ac:dyDescent="0.25">
      <c r="A505">
        <v>809056</v>
      </c>
      <c r="B505" t="s">
        <v>228</v>
      </c>
      <c r="C505" t="s">
        <v>155</v>
      </c>
      <c r="D505" t="s">
        <v>229</v>
      </c>
      <c r="E505" t="s">
        <v>38</v>
      </c>
      <c r="F505" t="s">
        <v>96</v>
      </c>
      <c r="G505">
        <v>43</v>
      </c>
      <c r="H505" t="s">
        <v>60</v>
      </c>
      <c r="I505" t="s">
        <v>230</v>
      </c>
      <c r="J505">
        <v>809056</v>
      </c>
      <c r="K505" t="s">
        <v>77</v>
      </c>
      <c r="L505" s="1">
        <v>42421.720138888886</v>
      </c>
      <c r="M505" s="1">
        <v>42421</v>
      </c>
      <c r="N505" s="3">
        <f>INT(BrightTV_JoinedTablesnw_2026_04_16_23_55_09[[#This Row],[Viewership.RecordDate22]])</f>
        <v>42421</v>
      </c>
      <c r="O505" s="2">
        <v>0.72013888888888888</v>
      </c>
      <c r="P505" t="s">
        <v>657</v>
      </c>
      <c r="Q505">
        <v>809056</v>
      </c>
      <c r="R505" t="s">
        <v>20</v>
      </c>
    </row>
    <row r="506" spans="1:18" x14ac:dyDescent="0.25">
      <c r="A506">
        <v>809056</v>
      </c>
      <c r="B506" t="s">
        <v>228</v>
      </c>
      <c r="C506" t="s">
        <v>155</v>
      </c>
      <c r="D506" t="s">
        <v>229</v>
      </c>
      <c r="E506" t="s">
        <v>38</v>
      </c>
      <c r="F506" t="s">
        <v>96</v>
      </c>
      <c r="G506">
        <v>43</v>
      </c>
      <c r="H506" t="s">
        <v>60</v>
      </c>
      <c r="I506" t="s">
        <v>230</v>
      </c>
      <c r="J506">
        <v>809056</v>
      </c>
      <c r="K506" t="s">
        <v>129</v>
      </c>
      <c r="L506" s="1">
        <v>42402.845833333333</v>
      </c>
      <c r="M506" s="1">
        <v>42402</v>
      </c>
      <c r="N506" s="3">
        <f>INT(BrightTV_JoinedTablesnw_2026_04_16_23_55_09[[#This Row],[Viewership.RecordDate22]])</f>
        <v>42402</v>
      </c>
      <c r="O506" s="2">
        <v>0.84583333333333333</v>
      </c>
      <c r="P506" t="s">
        <v>376</v>
      </c>
      <c r="Q506">
        <v>809056</v>
      </c>
      <c r="R506" t="s">
        <v>20</v>
      </c>
    </row>
    <row r="507" spans="1:18" x14ac:dyDescent="0.25">
      <c r="A507">
        <v>809056</v>
      </c>
      <c r="B507" t="s">
        <v>228</v>
      </c>
      <c r="C507" t="s">
        <v>155</v>
      </c>
      <c r="D507" t="s">
        <v>229</v>
      </c>
      <c r="E507" t="s">
        <v>38</v>
      </c>
      <c r="F507" t="s">
        <v>96</v>
      </c>
      <c r="G507">
        <v>43</v>
      </c>
      <c r="H507" t="s">
        <v>60</v>
      </c>
      <c r="I507" t="s">
        <v>230</v>
      </c>
      <c r="J507">
        <v>809056</v>
      </c>
      <c r="K507" t="s">
        <v>18</v>
      </c>
      <c r="L507" s="1">
        <v>42425.40625</v>
      </c>
      <c r="M507" s="1">
        <v>42425</v>
      </c>
      <c r="N507" s="3">
        <f>INT(BrightTV_JoinedTablesnw_2026_04_16_23_55_09[[#This Row],[Viewership.RecordDate22]])</f>
        <v>42425</v>
      </c>
      <c r="O507" s="2">
        <v>0.40625</v>
      </c>
      <c r="P507" t="s">
        <v>758</v>
      </c>
      <c r="Q507">
        <v>809056</v>
      </c>
      <c r="R507" t="s">
        <v>20</v>
      </c>
    </row>
    <row r="508" spans="1:18" x14ac:dyDescent="0.25">
      <c r="A508">
        <v>809056</v>
      </c>
      <c r="B508" t="s">
        <v>228</v>
      </c>
      <c r="C508" t="s">
        <v>155</v>
      </c>
      <c r="D508" t="s">
        <v>229</v>
      </c>
      <c r="E508" t="s">
        <v>38</v>
      </c>
      <c r="F508" t="s">
        <v>96</v>
      </c>
      <c r="G508">
        <v>43</v>
      </c>
      <c r="H508" t="s">
        <v>60</v>
      </c>
      <c r="I508" t="s">
        <v>230</v>
      </c>
      <c r="J508">
        <v>809056</v>
      </c>
      <c r="K508" t="s">
        <v>77</v>
      </c>
      <c r="L508" s="1">
        <v>42437.445833333331</v>
      </c>
      <c r="M508" s="1">
        <v>42437</v>
      </c>
      <c r="N508" s="3">
        <f>INT(BrightTV_JoinedTablesnw_2026_04_16_23_55_09[[#This Row],[Viewership.RecordDate22]])</f>
        <v>42437</v>
      </c>
      <c r="O508" s="2">
        <v>0.44583333333333336</v>
      </c>
      <c r="P508" t="s">
        <v>759</v>
      </c>
      <c r="Q508">
        <v>809056</v>
      </c>
      <c r="R508" t="s">
        <v>20</v>
      </c>
    </row>
    <row r="509" spans="1:18" x14ac:dyDescent="0.25">
      <c r="A509">
        <v>809056</v>
      </c>
      <c r="B509" t="s">
        <v>228</v>
      </c>
      <c r="C509" t="s">
        <v>155</v>
      </c>
      <c r="D509" t="s">
        <v>229</v>
      </c>
      <c r="E509" t="s">
        <v>38</v>
      </c>
      <c r="F509" t="s">
        <v>96</v>
      </c>
      <c r="G509">
        <v>43</v>
      </c>
      <c r="H509" t="s">
        <v>60</v>
      </c>
      <c r="I509" t="s">
        <v>230</v>
      </c>
      <c r="J509">
        <v>809056</v>
      </c>
      <c r="K509" t="s">
        <v>77</v>
      </c>
      <c r="L509" s="1">
        <v>42370.888194444444</v>
      </c>
      <c r="M509" s="1">
        <v>42370</v>
      </c>
      <c r="N509" s="3">
        <f>INT(BrightTV_JoinedTablesnw_2026_04_16_23_55_09[[#This Row],[Viewership.RecordDate22]])</f>
        <v>42370</v>
      </c>
      <c r="O509" s="2">
        <v>0.8881944444444444</v>
      </c>
      <c r="P509" t="s">
        <v>288</v>
      </c>
      <c r="Q509">
        <v>809056</v>
      </c>
      <c r="R509" t="s">
        <v>20</v>
      </c>
    </row>
    <row r="510" spans="1:18" x14ac:dyDescent="0.25">
      <c r="A510">
        <v>809056</v>
      </c>
      <c r="B510" t="s">
        <v>228</v>
      </c>
      <c r="C510" t="s">
        <v>155</v>
      </c>
      <c r="D510" t="s">
        <v>229</v>
      </c>
      <c r="E510" t="s">
        <v>38</v>
      </c>
      <c r="F510" t="s">
        <v>96</v>
      </c>
      <c r="G510">
        <v>43</v>
      </c>
      <c r="H510" t="s">
        <v>60</v>
      </c>
      <c r="I510" t="s">
        <v>230</v>
      </c>
      <c r="J510">
        <v>809056</v>
      </c>
      <c r="K510" t="s">
        <v>77</v>
      </c>
      <c r="L510" s="1">
        <v>42396.989583333336</v>
      </c>
      <c r="M510" s="1">
        <v>42396</v>
      </c>
      <c r="N510" s="3">
        <f>INT(BrightTV_JoinedTablesnw_2026_04_16_23_55_09[[#This Row],[Viewership.RecordDate22]])</f>
        <v>42396</v>
      </c>
      <c r="O510" s="2">
        <v>0.98958333333333337</v>
      </c>
      <c r="P510" t="s">
        <v>760</v>
      </c>
      <c r="Q510">
        <v>809056</v>
      </c>
      <c r="R510" t="s">
        <v>20</v>
      </c>
    </row>
    <row r="511" spans="1:18" x14ac:dyDescent="0.25">
      <c r="A511">
        <v>809056</v>
      </c>
      <c r="B511" t="s">
        <v>228</v>
      </c>
      <c r="C511" t="s">
        <v>155</v>
      </c>
      <c r="D511" t="s">
        <v>229</v>
      </c>
      <c r="E511" t="s">
        <v>38</v>
      </c>
      <c r="F511" t="s">
        <v>96</v>
      </c>
      <c r="G511">
        <v>43</v>
      </c>
      <c r="H511" t="s">
        <v>60</v>
      </c>
      <c r="I511" t="s">
        <v>230</v>
      </c>
      <c r="J511">
        <v>809056</v>
      </c>
      <c r="K511" t="s">
        <v>47</v>
      </c>
      <c r="L511" s="1">
        <v>42381.597916666666</v>
      </c>
      <c r="M511" s="1">
        <v>42381</v>
      </c>
      <c r="N511" s="3">
        <f>INT(BrightTV_JoinedTablesnw_2026_04_16_23_55_09[[#This Row],[Viewership.RecordDate22]])</f>
        <v>42381</v>
      </c>
      <c r="O511" s="2">
        <v>0.59791666666666665</v>
      </c>
      <c r="P511" t="s">
        <v>278</v>
      </c>
      <c r="Q511">
        <v>809056</v>
      </c>
      <c r="R511" t="s">
        <v>20</v>
      </c>
    </row>
    <row r="512" spans="1:18" x14ac:dyDescent="0.25">
      <c r="A512">
        <v>809056</v>
      </c>
      <c r="B512" t="s">
        <v>228</v>
      </c>
      <c r="C512" t="s">
        <v>155</v>
      </c>
      <c r="D512" t="s">
        <v>229</v>
      </c>
      <c r="E512" t="s">
        <v>38</v>
      </c>
      <c r="F512" t="s">
        <v>96</v>
      </c>
      <c r="G512">
        <v>43</v>
      </c>
      <c r="H512" t="s">
        <v>60</v>
      </c>
      <c r="I512" t="s">
        <v>230</v>
      </c>
      <c r="J512">
        <v>809056</v>
      </c>
      <c r="K512" t="s">
        <v>77</v>
      </c>
      <c r="L512" s="1">
        <v>42375.893750000003</v>
      </c>
      <c r="M512" s="1">
        <v>42375</v>
      </c>
      <c r="N512" s="3">
        <f>INT(BrightTV_JoinedTablesnw_2026_04_16_23_55_09[[#This Row],[Viewership.RecordDate22]])</f>
        <v>42375</v>
      </c>
      <c r="O512" s="2">
        <v>0.89375000000000004</v>
      </c>
      <c r="P512" t="s">
        <v>761</v>
      </c>
      <c r="Q512">
        <v>809056</v>
      </c>
      <c r="R512" t="s">
        <v>20</v>
      </c>
    </row>
    <row r="513" spans="1:18" x14ac:dyDescent="0.25">
      <c r="A513">
        <v>809056</v>
      </c>
      <c r="B513" t="s">
        <v>228</v>
      </c>
      <c r="C513" t="s">
        <v>155</v>
      </c>
      <c r="D513" t="s">
        <v>229</v>
      </c>
      <c r="E513" t="s">
        <v>38</v>
      </c>
      <c r="F513" t="s">
        <v>96</v>
      </c>
      <c r="G513">
        <v>43</v>
      </c>
      <c r="H513" t="s">
        <v>60</v>
      </c>
      <c r="I513" t="s">
        <v>230</v>
      </c>
      <c r="J513">
        <v>809056</v>
      </c>
      <c r="K513" t="s">
        <v>84</v>
      </c>
      <c r="L513" s="1">
        <v>42412.999305555553</v>
      </c>
      <c r="M513" s="1">
        <v>42412</v>
      </c>
      <c r="N513" s="3">
        <f>INT(BrightTV_JoinedTablesnw_2026_04_16_23_55_09[[#This Row],[Viewership.RecordDate22]])</f>
        <v>42412</v>
      </c>
      <c r="O513" s="2">
        <v>0.99930555555555556</v>
      </c>
      <c r="P513" t="s">
        <v>161</v>
      </c>
      <c r="Q513">
        <v>809056</v>
      </c>
      <c r="R513" t="s">
        <v>20</v>
      </c>
    </row>
    <row r="514" spans="1:18" x14ac:dyDescent="0.25">
      <c r="A514">
        <v>809056</v>
      </c>
      <c r="B514" t="s">
        <v>228</v>
      </c>
      <c r="C514" t="s">
        <v>155</v>
      </c>
      <c r="D514" t="s">
        <v>229</v>
      </c>
      <c r="E514" t="s">
        <v>38</v>
      </c>
      <c r="F514" t="s">
        <v>96</v>
      </c>
      <c r="G514">
        <v>43</v>
      </c>
      <c r="H514" t="s">
        <v>60</v>
      </c>
      <c r="I514" t="s">
        <v>230</v>
      </c>
      <c r="J514">
        <v>809056</v>
      </c>
      <c r="K514" t="s">
        <v>30</v>
      </c>
      <c r="L514" s="1">
        <v>42371.872916666667</v>
      </c>
      <c r="M514" s="1">
        <v>42371</v>
      </c>
      <c r="N514" s="3">
        <f>INT(BrightTV_JoinedTablesnw_2026_04_16_23_55_09[[#This Row],[Viewership.RecordDate22]])</f>
        <v>42371</v>
      </c>
      <c r="O514" s="2">
        <v>0.87291666666666667</v>
      </c>
      <c r="P514" t="s">
        <v>762</v>
      </c>
      <c r="Q514">
        <v>809056</v>
      </c>
      <c r="R514" t="s">
        <v>20</v>
      </c>
    </row>
    <row r="515" spans="1:18" x14ac:dyDescent="0.25">
      <c r="A515">
        <v>809056</v>
      </c>
      <c r="B515" t="s">
        <v>228</v>
      </c>
      <c r="C515" t="s">
        <v>155</v>
      </c>
      <c r="D515" t="s">
        <v>229</v>
      </c>
      <c r="E515" t="s">
        <v>38</v>
      </c>
      <c r="F515" t="s">
        <v>96</v>
      </c>
      <c r="G515">
        <v>43</v>
      </c>
      <c r="H515" t="s">
        <v>60</v>
      </c>
      <c r="I515" t="s">
        <v>230</v>
      </c>
      <c r="J515">
        <v>809056</v>
      </c>
      <c r="K515" t="s">
        <v>77</v>
      </c>
      <c r="L515" s="1">
        <v>42370.351388888892</v>
      </c>
      <c r="M515" s="1">
        <v>42370</v>
      </c>
      <c r="N515" s="3">
        <f>INT(BrightTV_JoinedTablesnw_2026_04_16_23_55_09[[#This Row],[Viewership.RecordDate22]])</f>
        <v>42370</v>
      </c>
      <c r="O515" s="2">
        <v>0.35138888888888886</v>
      </c>
      <c r="P515" t="s">
        <v>492</v>
      </c>
      <c r="Q515">
        <v>809056</v>
      </c>
      <c r="R515" t="s">
        <v>20</v>
      </c>
    </row>
    <row r="516" spans="1:18" x14ac:dyDescent="0.25">
      <c r="A516">
        <v>809056</v>
      </c>
      <c r="B516" t="s">
        <v>228</v>
      </c>
      <c r="C516" t="s">
        <v>155</v>
      </c>
      <c r="D516" t="s">
        <v>229</v>
      </c>
      <c r="E516" t="s">
        <v>38</v>
      </c>
      <c r="F516" t="s">
        <v>96</v>
      </c>
      <c r="G516">
        <v>43</v>
      </c>
      <c r="H516" t="s">
        <v>60</v>
      </c>
      <c r="I516" t="s">
        <v>230</v>
      </c>
      <c r="J516">
        <v>809056</v>
      </c>
      <c r="K516" t="s">
        <v>77</v>
      </c>
      <c r="L516" s="1">
        <v>42434.043749999997</v>
      </c>
      <c r="M516" s="1">
        <v>42434</v>
      </c>
      <c r="N516" s="3">
        <f>INT(BrightTV_JoinedTablesnw_2026_04_16_23_55_09[[#This Row],[Viewership.RecordDate22]])</f>
        <v>42434</v>
      </c>
      <c r="O516" s="2">
        <v>4.3749999999999997E-2</v>
      </c>
      <c r="P516" t="s">
        <v>763</v>
      </c>
      <c r="Q516">
        <v>809056</v>
      </c>
      <c r="R516" t="s">
        <v>20</v>
      </c>
    </row>
    <row r="517" spans="1:18" x14ac:dyDescent="0.25">
      <c r="A517">
        <v>809056</v>
      </c>
      <c r="B517" t="s">
        <v>228</v>
      </c>
      <c r="C517" t="s">
        <v>155</v>
      </c>
      <c r="D517" t="s">
        <v>229</v>
      </c>
      <c r="E517" t="s">
        <v>38</v>
      </c>
      <c r="F517" t="s">
        <v>96</v>
      </c>
      <c r="G517">
        <v>43</v>
      </c>
      <c r="H517" t="s">
        <v>60</v>
      </c>
      <c r="I517" t="s">
        <v>230</v>
      </c>
      <c r="J517">
        <v>809056</v>
      </c>
      <c r="K517" t="s">
        <v>18</v>
      </c>
      <c r="L517" s="1">
        <v>42434.642361111109</v>
      </c>
      <c r="M517" s="1">
        <v>42434</v>
      </c>
      <c r="N517" s="3">
        <f>INT(BrightTV_JoinedTablesnw_2026_04_16_23_55_09[[#This Row],[Viewership.RecordDate22]])</f>
        <v>42434</v>
      </c>
      <c r="O517" s="2">
        <v>0.64236111111111116</v>
      </c>
      <c r="P517" t="s">
        <v>99</v>
      </c>
      <c r="Q517">
        <v>809056</v>
      </c>
      <c r="R517" t="s">
        <v>20</v>
      </c>
    </row>
    <row r="518" spans="1:18" x14ac:dyDescent="0.25">
      <c r="A518">
        <v>809056</v>
      </c>
      <c r="B518" t="s">
        <v>228</v>
      </c>
      <c r="C518" t="s">
        <v>155</v>
      </c>
      <c r="D518" t="s">
        <v>229</v>
      </c>
      <c r="E518" t="s">
        <v>38</v>
      </c>
      <c r="F518" t="s">
        <v>96</v>
      </c>
      <c r="G518">
        <v>43</v>
      </c>
      <c r="H518" t="s">
        <v>60</v>
      </c>
      <c r="I518" t="s">
        <v>230</v>
      </c>
      <c r="J518">
        <v>809056</v>
      </c>
      <c r="K518" t="s">
        <v>496</v>
      </c>
      <c r="L518" s="1">
        <v>42419.040277777778</v>
      </c>
      <c r="M518" s="1">
        <v>42419</v>
      </c>
      <c r="N518" s="3">
        <f>INT(BrightTV_JoinedTablesnw_2026_04_16_23_55_09[[#This Row],[Viewership.RecordDate22]])</f>
        <v>42419</v>
      </c>
      <c r="O518" s="2">
        <v>4.027777777777778E-2</v>
      </c>
      <c r="P518" t="s">
        <v>764</v>
      </c>
      <c r="Q518">
        <v>809056</v>
      </c>
      <c r="R518" t="s">
        <v>20</v>
      </c>
    </row>
    <row r="519" spans="1:18" x14ac:dyDescent="0.25">
      <c r="A519">
        <v>809056</v>
      </c>
      <c r="B519" t="s">
        <v>228</v>
      </c>
      <c r="C519" t="s">
        <v>155</v>
      </c>
      <c r="D519" t="s">
        <v>229</v>
      </c>
      <c r="E519" t="s">
        <v>38</v>
      </c>
      <c r="F519" t="s">
        <v>96</v>
      </c>
      <c r="G519">
        <v>43</v>
      </c>
      <c r="H519" t="s">
        <v>60</v>
      </c>
      <c r="I519" t="s">
        <v>230</v>
      </c>
      <c r="J519">
        <v>809056</v>
      </c>
      <c r="K519" t="s">
        <v>32</v>
      </c>
      <c r="L519" s="1">
        <v>42412.813888888886</v>
      </c>
      <c r="M519" s="1">
        <v>42412</v>
      </c>
      <c r="N519" s="3">
        <f>INT(BrightTV_JoinedTablesnw_2026_04_16_23_55_09[[#This Row],[Viewership.RecordDate22]])</f>
        <v>42412</v>
      </c>
      <c r="O519" s="2">
        <v>0.81388888888888888</v>
      </c>
      <c r="P519" t="s">
        <v>200</v>
      </c>
      <c r="Q519">
        <v>809056</v>
      </c>
      <c r="R519" t="s">
        <v>20</v>
      </c>
    </row>
    <row r="520" spans="1:18" x14ac:dyDescent="0.25">
      <c r="A520">
        <v>809056</v>
      </c>
      <c r="B520" t="s">
        <v>228</v>
      </c>
      <c r="C520" t="s">
        <v>155</v>
      </c>
      <c r="D520" t="s">
        <v>229</v>
      </c>
      <c r="E520" t="s">
        <v>38</v>
      </c>
      <c r="F520" t="s">
        <v>96</v>
      </c>
      <c r="G520">
        <v>43</v>
      </c>
      <c r="H520" t="s">
        <v>60</v>
      </c>
      <c r="I520" t="s">
        <v>230</v>
      </c>
      <c r="J520">
        <v>809056</v>
      </c>
      <c r="K520" t="s">
        <v>30</v>
      </c>
      <c r="L520" s="1">
        <v>42460.772916666669</v>
      </c>
      <c r="M520" s="1">
        <v>42460</v>
      </c>
      <c r="N520" s="3">
        <f>INT(BrightTV_JoinedTablesnw_2026_04_16_23_55_09[[#This Row],[Viewership.RecordDate22]])</f>
        <v>42460</v>
      </c>
      <c r="O520" s="2">
        <v>0.7729166666666667</v>
      </c>
      <c r="P520" t="s">
        <v>315</v>
      </c>
      <c r="Q520">
        <v>809056</v>
      </c>
      <c r="R520" t="s">
        <v>20</v>
      </c>
    </row>
    <row r="521" spans="1:18" x14ac:dyDescent="0.25">
      <c r="A521">
        <v>809056</v>
      </c>
      <c r="B521" t="s">
        <v>228</v>
      </c>
      <c r="C521" t="s">
        <v>155</v>
      </c>
      <c r="D521" t="s">
        <v>229</v>
      </c>
      <c r="E521" t="s">
        <v>38</v>
      </c>
      <c r="F521" t="s">
        <v>96</v>
      </c>
      <c r="G521">
        <v>43</v>
      </c>
      <c r="H521" t="s">
        <v>60</v>
      </c>
      <c r="I521" t="s">
        <v>230</v>
      </c>
      <c r="J521">
        <v>809056</v>
      </c>
      <c r="K521" t="s">
        <v>32</v>
      </c>
      <c r="L521" s="1">
        <v>42459.553472222222</v>
      </c>
      <c r="M521" s="1">
        <v>42459</v>
      </c>
      <c r="N521" s="3">
        <f>INT(BrightTV_JoinedTablesnw_2026_04_16_23_55_09[[#This Row],[Viewership.RecordDate22]])</f>
        <v>42459</v>
      </c>
      <c r="O521" s="2">
        <v>0.55347222222222225</v>
      </c>
      <c r="P521" t="s">
        <v>91</v>
      </c>
      <c r="Q521">
        <v>809056</v>
      </c>
      <c r="R521" t="s">
        <v>20</v>
      </c>
    </row>
    <row r="522" spans="1:18" x14ac:dyDescent="0.25">
      <c r="A522">
        <v>809056</v>
      </c>
      <c r="B522" t="s">
        <v>228</v>
      </c>
      <c r="C522" t="s">
        <v>155</v>
      </c>
      <c r="D522" t="s">
        <v>229</v>
      </c>
      <c r="E522" t="s">
        <v>38</v>
      </c>
      <c r="F522" t="s">
        <v>96</v>
      </c>
      <c r="G522">
        <v>43</v>
      </c>
      <c r="H522" t="s">
        <v>60</v>
      </c>
      <c r="I522" t="s">
        <v>230</v>
      </c>
      <c r="J522">
        <v>809056</v>
      </c>
      <c r="K522" t="s">
        <v>186</v>
      </c>
      <c r="L522" s="1">
        <v>42456.032638888886</v>
      </c>
      <c r="M522" s="1">
        <v>42456</v>
      </c>
      <c r="N522" s="3">
        <f>INT(BrightTV_JoinedTablesnw_2026_04_16_23_55_09[[#This Row],[Viewership.RecordDate22]])</f>
        <v>42456</v>
      </c>
      <c r="O522" s="2">
        <v>3.2638888888888891E-2</v>
      </c>
      <c r="P522" t="s">
        <v>303</v>
      </c>
      <c r="Q522">
        <v>809056</v>
      </c>
      <c r="R522" t="s">
        <v>20</v>
      </c>
    </row>
    <row r="523" spans="1:18" x14ac:dyDescent="0.25">
      <c r="A523">
        <v>809056</v>
      </c>
      <c r="B523" t="s">
        <v>228</v>
      </c>
      <c r="C523" t="s">
        <v>155</v>
      </c>
      <c r="D523" t="s">
        <v>229</v>
      </c>
      <c r="E523" t="s">
        <v>38</v>
      </c>
      <c r="F523" t="s">
        <v>96</v>
      </c>
      <c r="G523">
        <v>43</v>
      </c>
      <c r="H523" t="s">
        <v>60</v>
      </c>
      <c r="I523" t="s">
        <v>230</v>
      </c>
      <c r="J523">
        <v>809056</v>
      </c>
      <c r="K523" t="s">
        <v>18</v>
      </c>
      <c r="L523" s="1">
        <v>42430.468055555553</v>
      </c>
      <c r="M523" s="1">
        <v>42430</v>
      </c>
      <c r="N523" s="3">
        <f>INT(BrightTV_JoinedTablesnw_2026_04_16_23_55_09[[#This Row],[Viewership.RecordDate22]])</f>
        <v>42430</v>
      </c>
      <c r="O523" s="2">
        <v>0.46805555555555556</v>
      </c>
      <c r="P523" t="s">
        <v>143</v>
      </c>
      <c r="Q523">
        <v>809056</v>
      </c>
      <c r="R523" t="s">
        <v>20</v>
      </c>
    </row>
    <row r="524" spans="1:18" x14ac:dyDescent="0.25">
      <c r="A524">
        <v>809056</v>
      </c>
      <c r="B524" t="s">
        <v>228</v>
      </c>
      <c r="C524" t="s">
        <v>155</v>
      </c>
      <c r="D524" t="s">
        <v>229</v>
      </c>
      <c r="E524" t="s">
        <v>38</v>
      </c>
      <c r="F524" t="s">
        <v>96</v>
      </c>
      <c r="G524">
        <v>43</v>
      </c>
      <c r="H524" t="s">
        <v>60</v>
      </c>
      <c r="I524" t="s">
        <v>230</v>
      </c>
      <c r="J524">
        <v>809056</v>
      </c>
      <c r="K524" t="s">
        <v>18</v>
      </c>
      <c r="L524" s="1">
        <v>42458.75</v>
      </c>
      <c r="M524" s="1">
        <v>42458</v>
      </c>
      <c r="N524" s="3">
        <f>INT(BrightTV_JoinedTablesnw_2026_04_16_23_55_09[[#This Row],[Viewership.RecordDate22]])</f>
        <v>42458</v>
      </c>
      <c r="O524" s="2">
        <v>0.75</v>
      </c>
      <c r="P524" t="s">
        <v>765</v>
      </c>
      <c r="Q524">
        <v>809056</v>
      </c>
      <c r="R524" t="s">
        <v>20</v>
      </c>
    </row>
    <row r="525" spans="1:18" x14ac:dyDescent="0.25">
      <c r="A525">
        <v>809056</v>
      </c>
      <c r="B525" t="s">
        <v>228</v>
      </c>
      <c r="C525" t="s">
        <v>155</v>
      </c>
      <c r="D525" t="s">
        <v>229</v>
      </c>
      <c r="E525" t="s">
        <v>38</v>
      </c>
      <c r="F525" t="s">
        <v>96</v>
      </c>
      <c r="G525">
        <v>43</v>
      </c>
      <c r="H525" t="s">
        <v>60</v>
      </c>
      <c r="I525" t="s">
        <v>230</v>
      </c>
      <c r="J525">
        <v>809056</v>
      </c>
      <c r="K525" t="s">
        <v>169</v>
      </c>
      <c r="L525" s="1">
        <v>42413.083333333336</v>
      </c>
      <c r="M525" s="1">
        <v>42413</v>
      </c>
      <c r="N525" s="3">
        <f>INT(BrightTV_JoinedTablesnw_2026_04_16_23_55_09[[#This Row],[Viewership.RecordDate22]])</f>
        <v>42413</v>
      </c>
      <c r="O525" s="2">
        <v>8.3333333333333329E-2</v>
      </c>
      <c r="P525" t="s">
        <v>540</v>
      </c>
      <c r="Q525">
        <v>809056</v>
      </c>
      <c r="R525" t="s">
        <v>20</v>
      </c>
    </row>
    <row r="526" spans="1:18" x14ac:dyDescent="0.25">
      <c r="A526">
        <v>703886</v>
      </c>
      <c r="B526" t="s">
        <v>292</v>
      </c>
      <c r="C526" t="s">
        <v>104</v>
      </c>
      <c r="D526" t="s">
        <v>710</v>
      </c>
      <c r="E526" t="s">
        <v>38</v>
      </c>
      <c r="F526" t="s">
        <v>106</v>
      </c>
      <c r="G526">
        <v>20</v>
      </c>
      <c r="H526" t="s">
        <v>75</v>
      </c>
      <c r="I526" t="s">
        <v>295</v>
      </c>
      <c r="J526">
        <v>703886</v>
      </c>
      <c r="K526" t="s">
        <v>152</v>
      </c>
      <c r="L526" s="1">
        <v>42453</v>
      </c>
      <c r="M526" s="1">
        <v>42453</v>
      </c>
      <c r="N526" s="3">
        <f>INT(BrightTV_JoinedTablesnw_2026_04_16_23_55_09[[#This Row],[Viewership.RecordDate22]])</f>
        <v>42453</v>
      </c>
      <c r="O526" s="2">
        <v>0</v>
      </c>
      <c r="P526" t="s">
        <v>766</v>
      </c>
      <c r="Q526">
        <v>703886</v>
      </c>
      <c r="R526" t="s">
        <v>20</v>
      </c>
    </row>
    <row r="527" spans="1:18" x14ac:dyDescent="0.25">
      <c r="A527">
        <v>703886</v>
      </c>
      <c r="B527" t="s">
        <v>292</v>
      </c>
      <c r="C527" t="s">
        <v>104</v>
      </c>
      <c r="D527" t="s">
        <v>710</v>
      </c>
      <c r="E527" t="s">
        <v>38</v>
      </c>
      <c r="F527" t="s">
        <v>106</v>
      </c>
      <c r="G527">
        <v>20</v>
      </c>
      <c r="H527" t="s">
        <v>75</v>
      </c>
      <c r="I527" t="s">
        <v>295</v>
      </c>
      <c r="J527">
        <v>703886</v>
      </c>
      <c r="K527" t="s">
        <v>18</v>
      </c>
      <c r="L527" s="1">
        <v>42455.706250000003</v>
      </c>
      <c r="M527" s="1">
        <v>42455</v>
      </c>
      <c r="N527" s="3">
        <f>INT(BrightTV_JoinedTablesnw_2026_04_16_23_55_09[[#This Row],[Viewership.RecordDate22]])</f>
        <v>42455</v>
      </c>
      <c r="O527" s="2">
        <v>0.70625000000000004</v>
      </c>
      <c r="P527" t="s">
        <v>55</v>
      </c>
      <c r="Q527">
        <v>703886</v>
      </c>
      <c r="R527" t="s">
        <v>20</v>
      </c>
    </row>
    <row r="528" spans="1:18" x14ac:dyDescent="0.25">
      <c r="A528">
        <v>720995</v>
      </c>
      <c r="B528" t="s">
        <v>702</v>
      </c>
      <c r="C528" t="s">
        <v>659</v>
      </c>
      <c r="D528" t="s">
        <v>767</v>
      </c>
      <c r="E528" t="s">
        <v>24</v>
      </c>
      <c r="F528" t="s">
        <v>39</v>
      </c>
      <c r="G528">
        <v>18</v>
      </c>
      <c r="H528" t="s">
        <v>40</v>
      </c>
      <c r="I528" t="s">
        <v>768</v>
      </c>
      <c r="J528">
        <v>720995</v>
      </c>
      <c r="K528" t="s">
        <v>77</v>
      </c>
      <c r="L528" s="1">
        <v>42385.474305555559</v>
      </c>
      <c r="M528" s="1">
        <v>42385</v>
      </c>
      <c r="N528" s="3">
        <f>INT(BrightTV_JoinedTablesnw_2026_04_16_23_55_09[[#This Row],[Viewership.RecordDate22]])</f>
        <v>42385</v>
      </c>
      <c r="O528" s="2">
        <v>0.47430555555555554</v>
      </c>
      <c r="P528" t="s">
        <v>289</v>
      </c>
      <c r="Q528">
        <v>720995</v>
      </c>
      <c r="R528" t="s">
        <v>20</v>
      </c>
    </row>
    <row r="529" spans="1:18" x14ac:dyDescent="0.25">
      <c r="A529">
        <v>724179</v>
      </c>
      <c r="B529" t="s">
        <v>573</v>
      </c>
      <c r="C529" t="s">
        <v>148</v>
      </c>
      <c r="D529" t="s">
        <v>769</v>
      </c>
      <c r="E529" t="s">
        <v>24</v>
      </c>
      <c r="F529" t="s">
        <v>39</v>
      </c>
      <c r="G529">
        <v>21</v>
      </c>
      <c r="H529" t="s">
        <v>40</v>
      </c>
      <c r="I529" t="s">
        <v>770</v>
      </c>
      <c r="J529">
        <v>724179</v>
      </c>
      <c r="K529" t="s">
        <v>32</v>
      </c>
      <c r="L529" s="1">
        <v>42389.867361111108</v>
      </c>
      <c r="M529" s="1">
        <v>42389</v>
      </c>
      <c r="N529" s="3">
        <f>INT(BrightTV_JoinedTablesnw_2026_04_16_23_55_09[[#This Row],[Viewership.RecordDate22]])</f>
        <v>42389</v>
      </c>
      <c r="O529" s="2">
        <v>0.86736111111111114</v>
      </c>
      <c r="P529" t="s">
        <v>771</v>
      </c>
      <c r="Q529">
        <v>724179</v>
      </c>
      <c r="R529" t="s">
        <v>20</v>
      </c>
    </row>
    <row r="530" spans="1:18" x14ac:dyDescent="0.25">
      <c r="A530">
        <v>727203</v>
      </c>
      <c r="B530" t="s">
        <v>135</v>
      </c>
      <c r="C530" t="s">
        <v>772</v>
      </c>
      <c r="D530" t="s">
        <v>773</v>
      </c>
      <c r="E530" t="s">
        <v>38</v>
      </c>
      <c r="F530" t="s">
        <v>16</v>
      </c>
      <c r="G530">
        <v>26</v>
      </c>
      <c r="H530" t="s">
        <v>60</v>
      </c>
      <c r="I530" t="s">
        <v>139</v>
      </c>
      <c r="J530">
        <v>727203</v>
      </c>
      <c r="K530" t="s">
        <v>30</v>
      </c>
      <c r="L530" s="1">
        <v>42387.793055555558</v>
      </c>
      <c r="M530" s="1">
        <v>42387</v>
      </c>
      <c r="N530" s="3">
        <f>INT(BrightTV_JoinedTablesnw_2026_04_16_23_55_09[[#This Row],[Viewership.RecordDate22]])</f>
        <v>42387</v>
      </c>
      <c r="O530" s="2">
        <v>0.79305555555555551</v>
      </c>
      <c r="P530" t="s">
        <v>774</v>
      </c>
      <c r="Q530">
        <v>727203</v>
      </c>
      <c r="R530" t="s">
        <v>20</v>
      </c>
    </row>
    <row r="531" spans="1:18" x14ac:dyDescent="0.25">
      <c r="A531">
        <v>730056</v>
      </c>
      <c r="B531" t="s">
        <v>135</v>
      </c>
      <c r="C531" t="s">
        <v>202</v>
      </c>
      <c r="D531" t="s">
        <v>203</v>
      </c>
      <c r="E531" t="s">
        <v>38</v>
      </c>
      <c r="F531" t="s">
        <v>16</v>
      </c>
      <c r="G531">
        <v>29</v>
      </c>
      <c r="H531" t="s">
        <v>40</v>
      </c>
      <c r="I531" t="s">
        <v>139</v>
      </c>
      <c r="J531">
        <v>730056</v>
      </c>
      <c r="K531" t="s">
        <v>47</v>
      </c>
      <c r="L531" s="1">
        <v>42391.09375</v>
      </c>
      <c r="M531" s="1">
        <v>42391</v>
      </c>
      <c r="N531" s="3">
        <f>INT(BrightTV_JoinedTablesnw_2026_04_16_23_55_09[[#This Row],[Viewership.RecordDate22]])</f>
        <v>42391</v>
      </c>
      <c r="O531" s="2">
        <v>9.375E-2</v>
      </c>
      <c r="P531" t="s">
        <v>144</v>
      </c>
      <c r="Q531">
        <v>730056</v>
      </c>
      <c r="R531" t="s">
        <v>20</v>
      </c>
    </row>
    <row r="532" spans="1:18" x14ac:dyDescent="0.25">
      <c r="A532">
        <v>732996</v>
      </c>
      <c r="B532" t="s">
        <v>654</v>
      </c>
      <c r="C532" t="s">
        <v>775</v>
      </c>
      <c r="D532" t="s">
        <v>776</v>
      </c>
      <c r="E532" t="s">
        <v>38</v>
      </c>
      <c r="F532" t="s">
        <v>106</v>
      </c>
      <c r="G532">
        <v>41</v>
      </c>
      <c r="H532" t="s">
        <v>40</v>
      </c>
      <c r="I532" t="s">
        <v>656</v>
      </c>
      <c r="J532">
        <v>732996</v>
      </c>
      <c r="K532" t="s">
        <v>47</v>
      </c>
      <c r="L532" s="1">
        <v>42389.352083333331</v>
      </c>
      <c r="M532" s="1">
        <v>42389</v>
      </c>
      <c r="N532" s="3">
        <f>INT(BrightTV_JoinedTablesnw_2026_04_16_23_55_09[[#This Row],[Viewership.RecordDate22]])</f>
        <v>42389</v>
      </c>
      <c r="O532" s="2">
        <v>0.35208333333333336</v>
      </c>
      <c r="P532" t="s">
        <v>307</v>
      </c>
      <c r="Q532">
        <v>732996</v>
      </c>
      <c r="R532" t="s">
        <v>20</v>
      </c>
    </row>
    <row r="533" spans="1:18" x14ac:dyDescent="0.25">
      <c r="A533">
        <v>732996</v>
      </c>
      <c r="B533" t="s">
        <v>654</v>
      </c>
      <c r="C533" t="s">
        <v>775</v>
      </c>
      <c r="D533" t="s">
        <v>776</v>
      </c>
      <c r="E533" t="s">
        <v>38</v>
      </c>
      <c r="F533" t="s">
        <v>106</v>
      </c>
      <c r="G533">
        <v>41</v>
      </c>
      <c r="H533" t="s">
        <v>40</v>
      </c>
      <c r="I533" t="s">
        <v>656</v>
      </c>
      <c r="J533">
        <v>732996</v>
      </c>
      <c r="K533" t="s">
        <v>47</v>
      </c>
      <c r="L533" s="1">
        <v>42389.453472222223</v>
      </c>
      <c r="M533" s="1">
        <v>42389</v>
      </c>
      <c r="N533" s="3">
        <f>INT(BrightTV_JoinedTablesnw_2026_04_16_23_55_09[[#This Row],[Viewership.RecordDate22]])</f>
        <v>42389</v>
      </c>
      <c r="O533" s="2">
        <v>0.45347222222222222</v>
      </c>
      <c r="P533" t="s">
        <v>114</v>
      </c>
      <c r="Q533">
        <v>732996</v>
      </c>
      <c r="R533" t="s">
        <v>20</v>
      </c>
    </row>
    <row r="534" spans="1:18" x14ac:dyDescent="0.25">
      <c r="A534">
        <v>779505</v>
      </c>
      <c r="B534" t="s">
        <v>777</v>
      </c>
      <c r="C534" t="s">
        <v>104</v>
      </c>
      <c r="D534" t="s">
        <v>778</v>
      </c>
      <c r="E534" t="s">
        <v>38</v>
      </c>
      <c r="F534" t="s">
        <v>39</v>
      </c>
      <c r="G534">
        <v>22</v>
      </c>
      <c r="H534" t="s">
        <v>40</v>
      </c>
      <c r="I534" t="s">
        <v>779</v>
      </c>
      <c r="J534">
        <v>779505</v>
      </c>
      <c r="K534" t="s">
        <v>32</v>
      </c>
      <c r="L534" s="1">
        <v>42406.870138888888</v>
      </c>
      <c r="M534" s="1">
        <v>42406</v>
      </c>
      <c r="N534" s="3">
        <f>INT(BrightTV_JoinedTablesnw_2026_04_16_23_55_09[[#This Row],[Viewership.RecordDate22]])</f>
        <v>42406</v>
      </c>
      <c r="O534" s="2">
        <v>0.87013888888888891</v>
      </c>
      <c r="P534" t="s">
        <v>780</v>
      </c>
      <c r="Q534">
        <v>779505</v>
      </c>
      <c r="R534" t="s">
        <v>20</v>
      </c>
    </row>
    <row r="535" spans="1:18" x14ac:dyDescent="0.25">
      <c r="A535">
        <v>733347</v>
      </c>
      <c r="B535" t="s">
        <v>249</v>
      </c>
      <c r="C535" t="s">
        <v>243</v>
      </c>
      <c r="D535" t="s">
        <v>591</v>
      </c>
      <c r="E535" t="s">
        <v>38</v>
      </c>
      <c r="F535" t="s">
        <v>16</v>
      </c>
      <c r="G535">
        <v>34</v>
      </c>
      <c r="H535" t="s">
        <v>280</v>
      </c>
      <c r="I535" t="s">
        <v>253</v>
      </c>
      <c r="J535">
        <v>733347</v>
      </c>
      <c r="K535" t="s">
        <v>32</v>
      </c>
      <c r="L535" s="1">
        <v>42392.841666666667</v>
      </c>
      <c r="M535" s="1">
        <v>42392</v>
      </c>
      <c r="N535" s="3">
        <f>INT(BrightTV_JoinedTablesnw_2026_04_16_23_55_09[[#This Row],[Viewership.RecordDate22]])</f>
        <v>42392</v>
      </c>
      <c r="O535" s="2">
        <v>0.84166666666666667</v>
      </c>
      <c r="P535" t="s">
        <v>781</v>
      </c>
      <c r="Q535">
        <v>733347</v>
      </c>
      <c r="R535" t="s">
        <v>20</v>
      </c>
    </row>
    <row r="536" spans="1:18" x14ac:dyDescent="0.25">
      <c r="A536">
        <v>733347</v>
      </c>
      <c r="B536" t="s">
        <v>249</v>
      </c>
      <c r="C536" t="s">
        <v>243</v>
      </c>
      <c r="D536" t="s">
        <v>591</v>
      </c>
      <c r="E536" t="s">
        <v>38</v>
      </c>
      <c r="F536" t="s">
        <v>16</v>
      </c>
      <c r="G536">
        <v>34</v>
      </c>
      <c r="H536" t="s">
        <v>280</v>
      </c>
      <c r="I536" t="s">
        <v>253</v>
      </c>
      <c r="J536">
        <v>733347</v>
      </c>
      <c r="K536" t="s">
        <v>129</v>
      </c>
      <c r="L536" s="1">
        <v>42393.688194444447</v>
      </c>
      <c r="M536" s="1">
        <v>42393</v>
      </c>
      <c r="N536" s="3">
        <f>INT(BrightTV_JoinedTablesnw_2026_04_16_23_55_09[[#This Row],[Viewership.RecordDate22]])</f>
        <v>42393</v>
      </c>
      <c r="O536" s="2">
        <v>0.68819444444444444</v>
      </c>
      <c r="P536" t="s">
        <v>145</v>
      </c>
      <c r="Q536">
        <v>733347</v>
      </c>
      <c r="R536" t="s">
        <v>20</v>
      </c>
    </row>
    <row r="537" spans="1:18" x14ac:dyDescent="0.25">
      <c r="A537">
        <v>733347</v>
      </c>
      <c r="B537" t="s">
        <v>249</v>
      </c>
      <c r="C537" t="s">
        <v>243</v>
      </c>
      <c r="D537" t="s">
        <v>591</v>
      </c>
      <c r="E537" t="s">
        <v>38</v>
      </c>
      <c r="F537" t="s">
        <v>16</v>
      </c>
      <c r="G537">
        <v>34</v>
      </c>
      <c r="H537" t="s">
        <v>280</v>
      </c>
      <c r="I537" t="s">
        <v>253</v>
      </c>
      <c r="J537">
        <v>733347</v>
      </c>
      <c r="K537" t="s">
        <v>32</v>
      </c>
      <c r="L537" s="1">
        <v>42392.811805555553</v>
      </c>
      <c r="M537" s="1">
        <v>42392</v>
      </c>
      <c r="N537" s="3">
        <f>INT(BrightTV_JoinedTablesnw_2026_04_16_23_55_09[[#This Row],[Viewership.RecordDate22]])</f>
        <v>42392</v>
      </c>
      <c r="O537" s="2">
        <v>0.81180555555555556</v>
      </c>
      <c r="P537" t="s">
        <v>301</v>
      </c>
      <c r="Q537">
        <v>733347</v>
      </c>
      <c r="R537" t="s">
        <v>20</v>
      </c>
    </row>
    <row r="538" spans="1:18" x14ac:dyDescent="0.25">
      <c r="A538">
        <v>733756</v>
      </c>
      <c r="B538" t="s">
        <v>110</v>
      </c>
      <c r="C538" t="s">
        <v>111</v>
      </c>
      <c r="D538" t="s">
        <v>782</v>
      </c>
      <c r="E538" t="s">
        <v>24</v>
      </c>
      <c r="F538" t="s">
        <v>106</v>
      </c>
      <c r="G538">
        <v>27</v>
      </c>
      <c r="H538" t="s">
        <v>52</v>
      </c>
      <c r="I538" t="s">
        <v>783</v>
      </c>
      <c r="J538">
        <v>733756</v>
      </c>
      <c r="K538" t="s">
        <v>30</v>
      </c>
      <c r="L538" s="1">
        <v>42392.78402777778</v>
      </c>
      <c r="M538" s="1">
        <v>42392</v>
      </c>
      <c r="N538" s="3">
        <f>INT(BrightTV_JoinedTablesnw_2026_04_16_23_55_09[[#This Row],[Viewership.RecordDate22]])</f>
        <v>42392</v>
      </c>
      <c r="O538" s="2">
        <v>0.78402777777777777</v>
      </c>
      <c r="P538" t="s">
        <v>321</v>
      </c>
      <c r="Q538">
        <v>733756</v>
      </c>
      <c r="R538" t="s">
        <v>20</v>
      </c>
    </row>
    <row r="539" spans="1:18" x14ac:dyDescent="0.25">
      <c r="A539">
        <v>764451</v>
      </c>
      <c r="B539" t="s">
        <v>784</v>
      </c>
      <c r="C539" t="s">
        <v>293</v>
      </c>
      <c r="D539" t="s">
        <v>785</v>
      </c>
      <c r="E539" t="s">
        <v>24</v>
      </c>
      <c r="F539" t="s">
        <v>106</v>
      </c>
      <c r="G539">
        <v>27</v>
      </c>
      <c r="H539" t="s">
        <v>40</v>
      </c>
      <c r="I539" t="s">
        <v>786</v>
      </c>
      <c r="J539">
        <v>764451</v>
      </c>
      <c r="K539" t="s">
        <v>77</v>
      </c>
      <c r="L539" s="1">
        <v>42380.632638888892</v>
      </c>
      <c r="M539" s="1">
        <v>42380</v>
      </c>
      <c r="N539" s="3">
        <f>INT(BrightTV_JoinedTablesnw_2026_04_16_23_55_09[[#This Row],[Viewership.RecordDate22]])</f>
        <v>42380</v>
      </c>
      <c r="O539" s="2">
        <v>0.63263888888888886</v>
      </c>
      <c r="P539" t="s">
        <v>787</v>
      </c>
      <c r="Q539">
        <v>764451</v>
      </c>
      <c r="R539" t="s">
        <v>20</v>
      </c>
    </row>
    <row r="540" spans="1:18" x14ac:dyDescent="0.25">
      <c r="A540">
        <v>793693</v>
      </c>
      <c r="B540" t="s">
        <v>426</v>
      </c>
      <c r="C540" t="s">
        <v>412</v>
      </c>
      <c r="D540" t="s">
        <v>788</v>
      </c>
      <c r="E540" t="s">
        <v>38</v>
      </c>
      <c r="F540" t="s">
        <v>39</v>
      </c>
      <c r="G540">
        <v>25</v>
      </c>
      <c r="H540" t="s">
        <v>40</v>
      </c>
      <c r="I540" t="s">
        <v>428</v>
      </c>
      <c r="J540">
        <v>793693</v>
      </c>
      <c r="K540" t="s">
        <v>28</v>
      </c>
      <c r="L540" s="1">
        <v>42415.359027777777</v>
      </c>
      <c r="M540" s="1">
        <v>42415</v>
      </c>
      <c r="N540" s="3">
        <f>INT(BrightTV_JoinedTablesnw_2026_04_16_23_55_09[[#This Row],[Viewership.RecordDate22]])</f>
        <v>42415</v>
      </c>
      <c r="O540" s="2">
        <v>0.35902777777777778</v>
      </c>
      <c r="P540" t="s">
        <v>34</v>
      </c>
      <c r="Q540">
        <v>793693</v>
      </c>
      <c r="R540" t="s">
        <v>20</v>
      </c>
    </row>
    <row r="541" spans="1:18" x14ac:dyDescent="0.25">
      <c r="A541">
        <v>793693</v>
      </c>
      <c r="B541" t="s">
        <v>426</v>
      </c>
      <c r="C541" t="s">
        <v>412</v>
      </c>
      <c r="D541" t="s">
        <v>788</v>
      </c>
      <c r="E541" t="s">
        <v>38</v>
      </c>
      <c r="F541" t="s">
        <v>39</v>
      </c>
      <c r="G541">
        <v>25</v>
      </c>
      <c r="H541" t="s">
        <v>40</v>
      </c>
      <c r="I541" t="s">
        <v>428</v>
      </c>
      <c r="J541">
        <v>793693</v>
      </c>
      <c r="K541" t="s">
        <v>129</v>
      </c>
      <c r="L541" s="1">
        <v>42415.382638888892</v>
      </c>
      <c r="M541" s="1">
        <v>42415</v>
      </c>
      <c r="N541" s="3">
        <f>INT(BrightTV_JoinedTablesnw_2026_04_16_23_55_09[[#This Row],[Viewership.RecordDate22]])</f>
        <v>42415</v>
      </c>
      <c r="O541" s="2">
        <v>0.38263888888888886</v>
      </c>
      <c r="P541" t="s">
        <v>64</v>
      </c>
      <c r="Q541">
        <v>793693</v>
      </c>
      <c r="R541" t="s">
        <v>20</v>
      </c>
    </row>
    <row r="542" spans="1:18" x14ac:dyDescent="0.25">
      <c r="A542">
        <v>793693</v>
      </c>
      <c r="B542" t="s">
        <v>426</v>
      </c>
      <c r="C542" t="s">
        <v>412</v>
      </c>
      <c r="D542" t="s">
        <v>788</v>
      </c>
      <c r="E542" t="s">
        <v>38</v>
      </c>
      <c r="F542" t="s">
        <v>39</v>
      </c>
      <c r="G542">
        <v>25</v>
      </c>
      <c r="H542" t="s">
        <v>40</v>
      </c>
      <c r="I542" t="s">
        <v>428</v>
      </c>
      <c r="J542">
        <v>793693</v>
      </c>
      <c r="K542" t="s">
        <v>32</v>
      </c>
      <c r="L542" s="1">
        <v>42419.445833333331</v>
      </c>
      <c r="M542" s="1">
        <v>42419</v>
      </c>
      <c r="N542" s="3">
        <f>INT(BrightTV_JoinedTablesnw_2026_04_16_23_55_09[[#This Row],[Viewership.RecordDate22]])</f>
        <v>42419</v>
      </c>
      <c r="O542" s="2">
        <v>0.44583333333333336</v>
      </c>
      <c r="P542" t="s">
        <v>64</v>
      </c>
      <c r="Q542">
        <v>793693</v>
      </c>
      <c r="R542" t="s">
        <v>20</v>
      </c>
    </row>
    <row r="543" spans="1:18" x14ac:dyDescent="0.25">
      <c r="A543">
        <v>793693</v>
      </c>
      <c r="B543" t="s">
        <v>426</v>
      </c>
      <c r="C543" t="s">
        <v>412</v>
      </c>
      <c r="D543" t="s">
        <v>788</v>
      </c>
      <c r="E543" t="s">
        <v>38</v>
      </c>
      <c r="F543" t="s">
        <v>39</v>
      </c>
      <c r="G543">
        <v>25</v>
      </c>
      <c r="H543" t="s">
        <v>40</v>
      </c>
      <c r="I543" t="s">
        <v>428</v>
      </c>
      <c r="J543">
        <v>793693</v>
      </c>
      <c r="K543" t="s">
        <v>129</v>
      </c>
      <c r="L543" s="1">
        <v>42414.429166666669</v>
      </c>
      <c r="M543" s="1">
        <v>42414</v>
      </c>
      <c r="N543" s="3">
        <f>INT(BrightTV_JoinedTablesnw_2026_04_16_23_55_09[[#This Row],[Viewership.RecordDate22]])</f>
        <v>42414</v>
      </c>
      <c r="O543" s="2">
        <v>0.42916666666666664</v>
      </c>
      <c r="P543" t="s">
        <v>353</v>
      </c>
      <c r="Q543">
        <v>793693</v>
      </c>
      <c r="R543" t="s">
        <v>20</v>
      </c>
    </row>
    <row r="544" spans="1:18" x14ac:dyDescent="0.25">
      <c r="A544">
        <v>739893</v>
      </c>
      <c r="B544" t="s">
        <v>43</v>
      </c>
      <c r="C544" t="s">
        <v>94</v>
      </c>
      <c r="D544" t="s">
        <v>684</v>
      </c>
      <c r="E544" t="s">
        <v>38</v>
      </c>
      <c r="F544" t="s">
        <v>39</v>
      </c>
      <c r="G544">
        <v>26</v>
      </c>
      <c r="H544" t="s">
        <v>138</v>
      </c>
      <c r="I544" t="s">
        <v>46</v>
      </c>
      <c r="J544">
        <v>739893</v>
      </c>
      <c r="K544" t="s">
        <v>129</v>
      </c>
      <c r="L544" s="1">
        <v>42384.920138888891</v>
      </c>
      <c r="M544" s="1">
        <v>42384</v>
      </c>
      <c r="N544" s="3">
        <f>INT(BrightTV_JoinedTablesnw_2026_04_16_23_55_09[[#This Row],[Viewership.RecordDate22]])</f>
        <v>42384</v>
      </c>
      <c r="O544" s="2">
        <v>0.92013888888888884</v>
      </c>
      <c r="P544" t="s">
        <v>789</v>
      </c>
      <c r="Q544">
        <v>739893</v>
      </c>
      <c r="R544" t="s">
        <v>20</v>
      </c>
    </row>
    <row r="545" spans="1:18" x14ac:dyDescent="0.25">
      <c r="A545">
        <v>745315</v>
      </c>
      <c r="B545" t="s">
        <v>398</v>
      </c>
      <c r="C545" t="s">
        <v>681</v>
      </c>
      <c r="D545" t="s">
        <v>399</v>
      </c>
      <c r="E545" t="s">
        <v>38</v>
      </c>
      <c r="F545" t="s">
        <v>25</v>
      </c>
      <c r="G545">
        <v>31</v>
      </c>
      <c r="H545" t="s">
        <v>138</v>
      </c>
      <c r="I545" t="s">
        <v>400</v>
      </c>
      <c r="J545">
        <v>745315</v>
      </c>
      <c r="K545" t="s">
        <v>54</v>
      </c>
      <c r="L545" s="1">
        <v>42385.802777777775</v>
      </c>
      <c r="M545" s="1">
        <v>42385</v>
      </c>
      <c r="N545" s="3">
        <f>INT(BrightTV_JoinedTablesnw_2026_04_16_23_55_09[[#This Row],[Viewership.RecordDate22]])</f>
        <v>42385</v>
      </c>
      <c r="O545" s="2">
        <v>0.80277777777777781</v>
      </c>
      <c r="P545" t="s">
        <v>717</v>
      </c>
      <c r="Q545">
        <v>745315</v>
      </c>
      <c r="R545" t="s">
        <v>20</v>
      </c>
    </row>
    <row r="546" spans="1:18" x14ac:dyDescent="0.25">
      <c r="A546">
        <v>806431</v>
      </c>
      <c r="B546" t="s">
        <v>72</v>
      </c>
      <c r="C546" t="s">
        <v>177</v>
      </c>
      <c r="D546" t="s">
        <v>711</v>
      </c>
      <c r="E546" t="s">
        <v>38</v>
      </c>
      <c r="F546" t="s">
        <v>39</v>
      </c>
      <c r="G546">
        <v>41</v>
      </c>
      <c r="H546" t="s">
        <v>26</v>
      </c>
      <c r="I546" t="s">
        <v>76</v>
      </c>
      <c r="J546">
        <v>806431</v>
      </c>
      <c r="K546" t="s">
        <v>54</v>
      </c>
      <c r="L546" s="1">
        <v>42402.856944444444</v>
      </c>
      <c r="M546" s="1">
        <v>42402</v>
      </c>
      <c r="N546" s="3">
        <f>INT(BrightTV_JoinedTablesnw_2026_04_16_23_55_09[[#This Row],[Viewership.RecordDate22]])</f>
        <v>42402</v>
      </c>
      <c r="O546" s="2">
        <v>0.8569444444444444</v>
      </c>
      <c r="P546" t="s">
        <v>629</v>
      </c>
      <c r="Q546">
        <v>806431</v>
      </c>
      <c r="R546" t="s">
        <v>20</v>
      </c>
    </row>
    <row r="547" spans="1:18" x14ac:dyDescent="0.25">
      <c r="A547">
        <v>771924</v>
      </c>
      <c r="B547" t="s">
        <v>328</v>
      </c>
      <c r="C547" t="s">
        <v>104</v>
      </c>
      <c r="D547" t="s">
        <v>790</v>
      </c>
      <c r="E547" t="s">
        <v>24</v>
      </c>
      <c r="F547" t="s">
        <v>39</v>
      </c>
      <c r="G547">
        <v>31</v>
      </c>
      <c r="H547" t="s">
        <v>40</v>
      </c>
      <c r="I547" t="s">
        <v>791</v>
      </c>
      <c r="J547">
        <v>771924</v>
      </c>
      <c r="K547" t="s">
        <v>129</v>
      </c>
      <c r="L547" s="1">
        <v>42409.496527777781</v>
      </c>
      <c r="M547" s="1">
        <v>42409</v>
      </c>
      <c r="N547" s="3">
        <f>INT(BrightTV_JoinedTablesnw_2026_04_16_23_55_09[[#This Row],[Viewership.RecordDate22]])</f>
        <v>42409</v>
      </c>
      <c r="O547" s="2">
        <v>0.49652777777777779</v>
      </c>
      <c r="P547" t="s">
        <v>675</v>
      </c>
      <c r="Q547">
        <v>771924</v>
      </c>
      <c r="R547" t="s">
        <v>20</v>
      </c>
    </row>
    <row r="548" spans="1:18" x14ac:dyDescent="0.25">
      <c r="A548">
        <v>749945</v>
      </c>
      <c r="B548" t="s">
        <v>80</v>
      </c>
      <c r="C548" t="s">
        <v>357</v>
      </c>
      <c r="D548" t="s">
        <v>82</v>
      </c>
      <c r="E548" t="s">
        <v>38</v>
      </c>
      <c r="F548" t="s">
        <v>96</v>
      </c>
      <c r="G548">
        <v>55</v>
      </c>
      <c r="H548" t="s">
        <v>60</v>
      </c>
      <c r="I548" t="s">
        <v>83</v>
      </c>
      <c r="J548">
        <v>749945</v>
      </c>
      <c r="K548" t="s">
        <v>32</v>
      </c>
      <c r="L548" s="1">
        <v>42397.425000000003</v>
      </c>
      <c r="M548" s="1">
        <v>42397</v>
      </c>
      <c r="N548" s="3">
        <f>INT(BrightTV_JoinedTablesnw_2026_04_16_23_55_09[[#This Row],[Viewership.RecordDate22]])</f>
        <v>42397</v>
      </c>
      <c r="O548" s="2">
        <v>0.42499999999999999</v>
      </c>
      <c r="P548" t="s">
        <v>71</v>
      </c>
      <c r="Q548">
        <v>749945</v>
      </c>
      <c r="R548" t="s">
        <v>20</v>
      </c>
    </row>
    <row r="549" spans="1:18" x14ac:dyDescent="0.25">
      <c r="A549">
        <v>749945</v>
      </c>
      <c r="B549" t="s">
        <v>80</v>
      </c>
      <c r="C549" t="s">
        <v>357</v>
      </c>
      <c r="D549" t="s">
        <v>82</v>
      </c>
      <c r="E549" t="s">
        <v>38</v>
      </c>
      <c r="F549" t="s">
        <v>96</v>
      </c>
      <c r="G549">
        <v>55</v>
      </c>
      <c r="H549" t="s">
        <v>60</v>
      </c>
      <c r="I549" t="s">
        <v>83</v>
      </c>
      <c r="J549">
        <v>749945</v>
      </c>
      <c r="K549" t="s">
        <v>77</v>
      </c>
      <c r="L549" s="1">
        <v>42397.977083333331</v>
      </c>
      <c r="M549" s="1">
        <v>42397</v>
      </c>
      <c r="N549" s="3">
        <f>INT(BrightTV_JoinedTablesnw_2026_04_16_23_55_09[[#This Row],[Viewership.RecordDate22]])</f>
        <v>42397</v>
      </c>
      <c r="O549" s="2">
        <v>0.9770833333333333</v>
      </c>
      <c r="P549" t="s">
        <v>792</v>
      </c>
      <c r="Q549">
        <v>749945</v>
      </c>
      <c r="R549" t="s">
        <v>20</v>
      </c>
    </row>
    <row r="550" spans="1:18" x14ac:dyDescent="0.25">
      <c r="A550">
        <v>789265</v>
      </c>
      <c r="B550" t="s">
        <v>622</v>
      </c>
      <c r="C550" t="s">
        <v>271</v>
      </c>
      <c r="D550" t="s">
        <v>793</v>
      </c>
      <c r="E550" t="s">
        <v>38</v>
      </c>
      <c r="F550" t="s">
        <v>25</v>
      </c>
      <c r="G550">
        <v>32</v>
      </c>
      <c r="H550" t="s">
        <v>280</v>
      </c>
      <c r="I550" t="s">
        <v>624</v>
      </c>
      <c r="J550">
        <v>789265</v>
      </c>
      <c r="K550" t="s">
        <v>30</v>
      </c>
      <c r="L550" s="1">
        <v>42409.04791666667</v>
      </c>
      <c r="M550" s="1">
        <v>42409</v>
      </c>
      <c r="N550" s="3">
        <f>INT(BrightTV_JoinedTablesnw_2026_04_16_23_55_09[[#This Row],[Viewership.RecordDate22]])</f>
        <v>42409</v>
      </c>
      <c r="O550" s="2">
        <v>4.791666666666667E-2</v>
      </c>
      <c r="P550" t="s">
        <v>794</v>
      </c>
      <c r="Q550">
        <v>789265</v>
      </c>
      <c r="R550" t="s">
        <v>20</v>
      </c>
    </row>
    <row r="551" spans="1:18" x14ac:dyDescent="0.25">
      <c r="A551">
        <v>750489</v>
      </c>
      <c r="B551" t="s">
        <v>35</v>
      </c>
      <c r="C551" t="s">
        <v>379</v>
      </c>
      <c r="D551" t="s">
        <v>795</v>
      </c>
      <c r="E551" t="s">
        <v>38</v>
      </c>
      <c r="F551" t="s">
        <v>39</v>
      </c>
      <c r="G551">
        <v>36</v>
      </c>
      <c r="H551" t="s">
        <v>75</v>
      </c>
      <c r="I551" t="s">
        <v>41</v>
      </c>
      <c r="J551">
        <v>750489</v>
      </c>
      <c r="K551" t="s">
        <v>47</v>
      </c>
      <c r="L551" s="1">
        <v>42398.893055555556</v>
      </c>
      <c r="M551" s="1">
        <v>42398</v>
      </c>
      <c r="N551" s="3">
        <f>INT(BrightTV_JoinedTablesnw_2026_04_16_23_55_09[[#This Row],[Viewership.RecordDate22]])</f>
        <v>42398</v>
      </c>
      <c r="O551" s="2">
        <v>0.8930555555555556</v>
      </c>
      <c r="P551" t="s">
        <v>429</v>
      </c>
      <c r="Q551">
        <v>750489</v>
      </c>
      <c r="R551" t="s">
        <v>20</v>
      </c>
    </row>
    <row r="552" spans="1:18" x14ac:dyDescent="0.25">
      <c r="A552">
        <v>809063</v>
      </c>
      <c r="B552" t="s">
        <v>228</v>
      </c>
      <c r="C552" t="s">
        <v>357</v>
      </c>
      <c r="D552" t="s">
        <v>796</v>
      </c>
      <c r="E552" t="s">
        <v>38</v>
      </c>
      <c r="F552" t="s">
        <v>39</v>
      </c>
      <c r="G552">
        <v>32</v>
      </c>
      <c r="H552" t="s">
        <v>40</v>
      </c>
      <c r="I552" t="s">
        <v>230</v>
      </c>
      <c r="J552">
        <v>809063</v>
      </c>
      <c r="K552" t="s">
        <v>77</v>
      </c>
      <c r="L552" s="1">
        <v>42420.623611111114</v>
      </c>
      <c r="M552" s="1">
        <v>42420</v>
      </c>
      <c r="N552" s="3">
        <f>INT(BrightTV_JoinedTablesnw_2026_04_16_23_55_09[[#This Row],[Viewership.RecordDate22]])</f>
        <v>42420</v>
      </c>
      <c r="O552" s="2">
        <v>0.62361111111111112</v>
      </c>
      <c r="P552" t="s">
        <v>356</v>
      </c>
      <c r="Q552">
        <v>809063</v>
      </c>
      <c r="R552" t="s">
        <v>20</v>
      </c>
    </row>
    <row r="553" spans="1:18" x14ac:dyDescent="0.25">
      <c r="A553">
        <v>809063</v>
      </c>
      <c r="B553" t="s">
        <v>228</v>
      </c>
      <c r="C553" t="s">
        <v>357</v>
      </c>
      <c r="D553" t="s">
        <v>796</v>
      </c>
      <c r="E553" t="s">
        <v>38</v>
      </c>
      <c r="F553" t="s">
        <v>39</v>
      </c>
      <c r="G553">
        <v>32</v>
      </c>
      <c r="H553" t="s">
        <v>40</v>
      </c>
      <c r="I553" t="s">
        <v>230</v>
      </c>
      <c r="J553">
        <v>809063</v>
      </c>
      <c r="K553" t="s">
        <v>54</v>
      </c>
      <c r="L553" s="1">
        <v>42420.552083333336</v>
      </c>
      <c r="M553" s="1">
        <v>42420</v>
      </c>
      <c r="N553" s="3">
        <f>INT(BrightTV_JoinedTablesnw_2026_04_16_23_55_09[[#This Row],[Viewership.RecordDate22]])</f>
        <v>42420</v>
      </c>
      <c r="O553" s="2">
        <v>0.55208333333333337</v>
      </c>
      <c r="P553" t="s">
        <v>145</v>
      </c>
      <c r="Q553">
        <v>809063</v>
      </c>
      <c r="R553" t="s">
        <v>20</v>
      </c>
    </row>
    <row r="554" spans="1:18" x14ac:dyDescent="0.25">
      <c r="A554">
        <v>809063</v>
      </c>
      <c r="B554" t="s">
        <v>228</v>
      </c>
      <c r="C554" t="s">
        <v>357</v>
      </c>
      <c r="D554" t="s">
        <v>796</v>
      </c>
      <c r="E554" t="s">
        <v>38</v>
      </c>
      <c r="F554" t="s">
        <v>39</v>
      </c>
      <c r="G554">
        <v>32</v>
      </c>
      <c r="H554" t="s">
        <v>40</v>
      </c>
      <c r="I554" t="s">
        <v>230</v>
      </c>
      <c r="J554">
        <v>809063</v>
      </c>
      <c r="K554" t="s">
        <v>54</v>
      </c>
      <c r="L554" s="1">
        <v>42424.375</v>
      </c>
      <c r="M554" s="1">
        <v>42424</v>
      </c>
      <c r="N554" s="3">
        <f>INT(BrightTV_JoinedTablesnw_2026_04_16_23_55_09[[#This Row],[Viewership.RecordDate22]])</f>
        <v>42424</v>
      </c>
      <c r="O554" s="2">
        <v>0.375</v>
      </c>
      <c r="P554" t="s">
        <v>797</v>
      </c>
      <c r="Q554">
        <v>809063</v>
      </c>
      <c r="R554" t="s">
        <v>20</v>
      </c>
    </row>
    <row r="555" spans="1:18" x14ac:dyDescent="0.25">
      <c r="A555">
        <v>786181</v>
      </c>
      <c r="B555" t="s">
        <v>86</v>
      </c>
      <c r="C555" t="s">
        <v>111</v>
      </c>
      <c r="D555" t="s">
        <v>88</v>
      </c>
      <c r="E555" t="s">
        <v>38</v>
      </c>
      <c r="F555" t="s">
        <v>39</v>
      </c>
      <c r="G555">
        <v>27</v>
      </c>
      <c r="H555" t="s">
        <v>40</v>
      </c>
      <c r="I555" t="s">
        <v>90</v>
      </c>
      <c r="J555">
        <v>786181</v>
      </c>
      <c r="K555" t="s">
        <v>54</v>
      </c>
      <c r="L555" s="1">
        <v>42434.884722222225</v>
      </c>
      <c r="M555" s="1">
        <v>42434</v>
      </c>
      <c r="N555" s="3">
        <f>INT(BrightTV_JoinedTablesnw_2026_04_16_23_55_09[[#This Row],[Viewership.RecordDate22]])</f>
        <v>42434</v>
      </c>
      <c r="O555" s="2">
        <v>0.88472222222222219</v>
      </c>
      <c r="P555" t="s">
        <v>492</v>
      </c>
      <c r="Q555">
        <v>786181</v>
      </c>
      <c r="R555" t="s">
        <v>20</v>
      </c>
    </row>
    <row r="556" spans="1:18" x14ac:dyDescent="0.25">
      <c r="A556">
        <v>793697</v>
      </c>
      <c r="B556" t="s">
        <v>192</v>
      </c>
      <c r="C556" t="s">
        <v>202</v>
      </c>
      <c r="D556" t="s">
        <v>194</v>
      </c>
      <c r="E556" t="s">
        <v>38</v>
      </c>
      <c r="F556" t="s">
        <v>16</v>
      </c>
      <c r="G556">
        <v>55</v>
      </c>
      <c r="H556" t="s">
        <v>52</v>
      </c>
      <c r="I556" t="s">
        <v>195</v>
      </c>
      <c r="J556">
        <v>793697</v>
      </c>
      <c r="K556" t="s">
        <v>54</v>
      </c>
      <c r="L556" s="1">
        <v>42425.672222222223</v>
      </c>
      <c r="M556" s="1">
        <v>42425</v>
      </c>
      <c r="N556" s="3">
        <f>INT(BrightTV_JoinedTablesnw_2026_04_16_23_55_09[[#This Row],[Viewership.RecordDate22]])</f>
        <v>42425</v>
      </c>
      <c r="O556" s="2">
        <v>0.67222222222222228</v>
      </c>
      <c r="P556" t="s">
        <v>679</v>
      </c>
      <c r="Q556">
        <v>793697</v>
      </c>
      <c r="R556" t="s">
        <v>20</v>
      </c>
    </row>
    <row r="557" spans="1:18" x14ac:dyDescent="0.25">
      <c r="A557">
        <v>763446</v>
      </c>
      <c r="B557" t="s">
        <v>385</v>
      </c>
      <c r="C557" t="s">
        <v>412</v>
      </c>
      <c r="D557" t="s">
        <v>798</v>
      </c>
      <c r="E557" t="s">
        <v>38</v>
      </c>
      <c r="F557" t="s">
        <v>39</v>
      </c>
      <c r="G557">
        <v>49</v>
      </c>
      <c r="H557" t="s">
        <v>252</v>
      </c>
      <c r="I557" t="s">
        <v>387</v>
      </c>
      <c r="J557">
        <v>763446</v>
      </c>
      <c r="K557" t="s">
        <v>47</v>
      </c>
      <c r="L557" s="1">
        <v>42409.935416666667</v>
      </c>
      <c r="M557" s="1">
        <v>42409</v>
      </c>
      <c r="N557" s="3">
        <f>INT(BrightTV_JoinedTablesnw_2026_04_16_23_55_09[[#This Row],[Viewership.RecordDate22]])</f>
        <v>42409</v>
      </c>
      <c r="O557" s="2">
        <v>0.93541666666666667</v>
      </c>
      <c r="P557" t="s">
        <v>353</v>
      </c>
      <c r="Q557">
        <v>763446</v>
      </c>
      <c r="R557" t="s">
        <v>20</v>
      </c>
    </row>
    <row r="558" spans="1:18" x14ac:dyDescent="0.25">
      <c r="A558">
        <v>763525</v>
      </c>
      <c r="B558" t="s">
        <v>49</v>
      </c>
      <c r="C558" t="s">
        <v>182</v>
      </c>
      <c r="D558" t="s">
        <v>799</v>
      </c>
      <c r="E558" t="s">
        <v>38</v>
      </c>
      <c r="F558" t="s">
        <v>39</v>
      </c>
      <c r="G558">
        <v>37</v>
      </c>
      <c r="H558" t="s">
        <v>40</v>
      </c>
      <c r="I558" t="s">
        <v>53</v>
      </c>
      <c r="J558">
        <v>763525</v>
      </c>
      <c r="K558" t="s">
        <v>54</v>
      </c>
      <c r="L558" s="1">
        <v>42445.777083333334</v>
      </c>
      <c r="M558" s="1">
        <v>42445</v>
      </c>
      <c r="N558" s="3">
        <f>INT(BrightTV_JoinedTablesnw_2026_04_16_23_55_09[[#This Row],[Viewership.RecordDate22]])</f>
        <v>42445</v>
      </c>
      <c r="O558" s="2">
        <v>0.77708333333333335</v>
      </c>
      <c r="P558" t="s">
        <v>356</v>
      </c>
      <c r="Q558">
        <v>763525</v>
      </c>
      <c r="R558" t="s">
        <v>20</v>
      </c>
    </row>
    <row r="559" spans="1:18" x14ac:dyDescent="0.25">
      <c r="A559">
        <v>771927</v>
      </c>
      <c r="B559" t="s">
        <v>343</v>
      </c>
      <c r="C559" t="s">
        <v>344</v>
      </c>
      <c r="D559" t="s">
        <v>800</v>
      </c>
      <c r="E559" t="s">
        <v>24</v>
      </c>
      <c r="F559" t="s">
        <v>16</v>
      </c>
      <c r="G559">
        <v>36</v>
      </c>
      <c r="H559" t="s">
        <v>60</v>
      </c>
      <c r="I559" t="s">
        <v>801</v>
      </c>
      <c r="J559">
        <v>771927</v>
      </c>
      <c r="K559" t="s">
        <v>47</v>
      </c>
      <c r="L559" s="1">
        <v>42400.463888888888</v>
      </c>
      <c r="M559" s="1">
        <v>42400</v>
      </c>
      <c r="N559" s="3">
        <f>INT(BrightTV_JoinedTablesnw_2026_04_16_23_55_09[[#This Row],[Viewership.RecordDate22]])</f>
        <v>42400</v>
      </c>
      <c r="O559" s="2">
        <v>0.46388888888888891</v>
      </c>
      <c r="P559" t="s">
        <v>802</v>
      </c>
      <c r="Q559">
        <v>771927</v>
      </c>
      <c r="R559" t="s">
        <v>20</v>
      </c>
    </row>
    <row r="560" spans="1:18" x14ac:dyDescent="0.25">
      <c r="A560">
        <v>771927</v>
      </c>
      <c r="B560" t="s">
        <v>343</v>
      </c>
      <c r="C560" t="s">
        <v>344</v>
      </c>
      <c r="D560" t="s">
        <v>800</v>
      </c>
      <c r="E560" t="s">
        <v>24</v>
      </c>
      <c r="F560" t="s">
        <v>16</v>
      </c>
      <c r="G560">
        <v>36</v>
      </c>
      <c r="H560" t="s">
        <v>60</v>
      </c>
      <c r="I560" t="s">
        <v>801</v>
      </c>
      <c r="J560">
        <v>771927</v>
      </c>
      <c r="K560" t="s">
        <v>169</v>
      </c>
      <c r="L560" s="1">
        <v>42398.772222222222</v>
      </c>
      <c r="M560" s="1">
        <v>42398</v>
      </c>
      <c r="N560" s="3">
        <f>INT(BrightTV_JoinedTablesnw_2026_04_16_23_55_09[[#This Row],[Viewership.RecordDate22]])</f>
        <v>42398</v>
      </c>
      <c r="O560" s="2">
        <v>0.77222222222222225</v>
      </c>
      <c r="P560" t="s">
        <v>278</v>
      </c>
      <c r="Q560">
        <v>771927</v>
      </c>
      <c r="R560" t="s">
        <v>20</v>
      </c>
    </row>
    <row r="561" spans="1:18" x14ac:dyDescent="0.25">
      <c r="A561">
        <v>771927</v>
      </c>
      <c r="B561" t="s">
        <v>343</v>
      </c>
      <c r="C561" t="s">
        <v>344</v>
      </c>
      <c r="D561" t="s">
        <v>800</v>
      </c>
      <c r="E561" t="s">
        <v>24</v>
      </c>
      <c r="F561" t="s">
        <v>16</v>
      </c>
      <c r="G561">
        <v>36</v>
      </c>
      <c r="H561" t="s">
        <v>60</v>
      </c>
      <c r="I561" t="s">
        <v>801</v>
      </c>
      <c r="J561">
        <v>771927</v>
      </c>
      <c r="K561" t="s">
        <v>54</v>
      </c>
      <c r="L561" s="1">
        <v>42397.625</v>
      </c>
      <c r="M561" s="1">
        <v>42397</v>
      </c>
      <c r="N561" s="3">
        <f>INT(BrightTV_JoinedTablesnw_2026_04_16_23_55_09[[#This Row],[Viewership.RecordDate22]])</f>
        <v>42397</v>
      </c>
      <c r="O561" s="2">
        <v>0.625</v>
      </c>
      <c r="P561" t="s">
        <v>803</v>
      </c>
      <c r="Q561">
        <v>771927</v>
      </c>
      <c r="R561" t="s">
        <v>20</v>
      </c>
    </row>
    <row r="562" spans="1:18" x14ac:dyDescent="0.25">
      <c r="A562">
        <v>771927</v>
      </c>
      <c r="B562" t="s">
        <v>343</v>
      </c>
      <c r="C562" t="s">
        <v>344</v>
      </c>
      <c r="D562" t="s">
        <v>800</v>
      </c>
      <c r="E562" t="s">
        <v>24</v>
      </c>
      <c r="F562" t="s">
        <v>16</v>
      </c>
      <c r="G562">
        <v>36</v>
      </c>
      <c r="H562" t="s">
        <v>60</v>
      </c>
      <c r="I562" t="s">
        <v>801</v>
      </c>
      <c r="J562">
        <v>771927</v>
      </c>
      <c r="K562" t="s">
        <v>47</v>
      </c>
      <c r="L562" s="1">
        <v>42401.425000000003</v>
      </c>
      <c r="M562" s="1">
        <v>42401</v>
      </c>
      <c r="N562" s="3">
        <f>INT(BrightTV_JoinedTablesnw_2026_04_16_23_55_09[[#This Row],[Viewership.RecordDate22]])</f>
        <v>42401</v>
      </c>
      <c r="O562" s="2">
        <v>0.42499999999999999</v>
      </c>
      <c r="P562" t="s">
        <v>804</v>
      </c>
      <c r="Q562">
        <v>771927</v>
      </c>
      <c r="R562" t="s">
        <v>20</v>
      </c>
    </row>
    <row r="563" spans="1:18" x14ac:dyDescent="0.25">
      <c r="A563">
        <v>771927</v>
      </c>
      <c r="B563" t="s">
        <v>343</v>
      </c>
      <c r="C563" t="s">
        <v>344</v>
      </c>
      <c r="D563" t="s">
        <v>800</v>
      </c>
      <c r="E563" t="s">
        <v>24</v>
      </c>
      <c r="F563" t="s">
        <v>16</v>
      </c>
      <c r="G563">
        <v>36</v>
      </c>
      <c r="H563" t="s">
        <v>60</v>
      </c>
      <c r="I563" t="s">
        <v>801</v>
      </c>
      <c r="J563">
        <v>771927</v>
      </c>
      <c r="K563" t="s">
        <v>47</v>
      </c>
      <c r="L563" s="1">
        <v>42396.676388888889</v>
      </c>
      <c r="M563" s="1">
        <v>42396</v>
      </c>
      <c r="N563" s="3">
        <f>INT(BrightTV_JoinedTablesnw_2026_04_16_23_55_09[[#This Row],[Viewership.RecordDate22]])</f>
        <v>42396</v>
      </c>
      <c r="O563" s="2">
        <v>0.67638888888888893</v>
      </c>
      <c r="P563" t="s">
        <v>685</v>
      </c>
      <c r="Q563">
        <v>771927</v>
      </c>
      <c r="R563" t="s">
        <v>20</v>
      </c>
    </row>
    <row r="564" spans="1:18" x14ac:dyDescent="0.25">
      <c r="A564">
        <v>771927</v>
      </c>
      <c r="B564" t="s">
        <v>343</v>
      </c>
      <c r="C564" t="s">
        <v>344</v>
      </c>
      <c r="D564" t="s">
        <v>800</v>
      </c>
      <c r="E564" t="s">
        <v>24</v>
      </c>
      <c r="F564" t="s">
        <v>16</v>
      </c>
      <c r="G564">
        <v>36</v>
      </c>
      <c r="H564" t="s">
        <v>60</v>
      </c>
      <c r="I564" t="s">
        <v>801</v>
      </c>
      <c r="J564">
        <v>771927</v>
      </c>
      <c r="K564" t="s">
        <v>54</v>
      </c>
      <c r="L564" s="1">
        <v>42396.329861111109</v>
      </c>
      <c r="M564" s="1">
        <v>42396</v>
      </c>
      <c r="N564" s="3">
        <f>INT(BrightTV_JoinedTablesnw_2026_04_16_23_55_09[[#This Row],[Viewership.RecordDate22]])</f>
        <v>42396</v>
      </c>
      <c r="O564" s="2">
        <v>0.3298611111111111</v>
      </c>
      <c r="P564" t="s">
        <v>191</v>
      </c>
      <c r="Q564">
        <v>771927</v>
      </c>
      <c r="R564" t="s">
        <v>20</v>
      </c>
    </row>
    <row r="565" spans="1:18" x14ac:dyDescent="0.25">
      <c r="A565">
        <v>771927</v>
      </c>
      <c r="B565" t="s">
        <v>343</v>
      </c>
      <c r="C565" t="s">
        <v>344</v>
      </c>
      <c r="D565" t="s">
        <v>800</v>
      </c>
      <c r="E565" t="s">
        <v>24</v>
      </c>
      <c r="F565" t="s">
        <v>16</v>
      </c>
      <c r="G565">
        <v>36</v>
      </c>
      <c r="H565" t="s">
        <v>60</v>
      </c>
      <c r="I565" t="s">
        <v>801</v>
      </c>
      <c r="J565">
        <v>771927</v>
      </c>
      <c r="K565" t="s">
        <v>84</v>
      </c>
      <c r="L565" s="1">
        <v>42399.777083333334</v>
      </c>
      <c r="M565" s="1">
        <v>42399</v>
      </c>
      <c r="N565" s="3">
        <f>INT(BrightTV_JoinedTablesnw_2026_04_16_23_55_09[[#This Row],[Viewership.RecordDate22]])</f>
        <v>42399</v>
      </c>
      <c r="O565" s="2">
        <v>0.77708333333333335</v>
      </c>
      <c r="P565" t="s">
        <v>210</v>
      </c>
      <c r="Q565">
        <v>771927</v>
      </c>
      <c r="R565" t="s">
        <v>20</v>
      </c>
    </row>
    <row r="566" spans="1:18" x14ac:dyDescent="0.25">
      <c r="A566">
        <v>764468</v>
      </c>
      <c r="B566" t="s">
        <v>676</v>
      </c>
      <c r="C566" t="s">
        <v>412</v>
      </c>
      <c r="D566" t="s">
        <v>805</v>
      </c>
      <c r="E566" t="s">
        <v>38</v>
      </c>
      <c r="F566" t="s">
        <v>39</v>
      </c>
      <c r="G566">
        <v>34</v>
      </c>
      <c r="H566" t="s">
        <v>40</v>
      </c>
      <c r="I566" t="s">
        <v>678</v>
      </c>
      <c r="J566">
        <v>764468</v>
      </c>
      <c r="K566" t="s">
        <v>32</v>
      </c>
      <c r="L566" s="1">
        <v>42402.374305555553</v>
      </c>
      <c r="M566" s="1">
        <v>42402</v>
      </c>
      <c r="N566" s="3">
        <f>INT(BrightTV_JoinedTablesnw_2026_04_16_23_55_09[[#This Row],[Viewership.RecordDate22]])</f>
        <v>42402</v>
      </c>
      <c r="O566" s="2">
        <v>0.37430555555555556</v>
      </c>
      <c r="P566" t="s">
        <v>592</v>
      </c>
      <c r="Q566">
        <v>764468</v>
      </c>
      <c r="R566" t="s">
        <v>20</v>
      </c>
    </row>
    <row r="567" spans="1:18" x14ac:dyDescent="0.25">
      <c r="A567">
        <v>764531</v>
      </c>
      <c r="B567" t="s">
        <v>317</v>
      </c>
      <c r="C567" t="s">
        <v>233</v>
      </c>
      <c r="D567" t="s">
        <v>536</v>
      </c>
      <c r="E567" t="s">
        <v>38</v>
      </c>
      <c r="F567" t="s">
        <v>96</v>
      </c>
      <c r="G567">
        <v>46</v>
      </c>
      <c r="H567" t="s">
        <v>138</v>
      </c>
      <c r="I567" t="s">
        <v>319</v>
      </c>
      <c r="J567">
        <v>764531</v>
      </c>
      <c r="K567" t="s">
        <v>47</v>
      </c>
      <c r="L567" s="1">
        <v>42388.888888888891</v>
      </c>
      <c r="M567" s="1">
        <v>42388</v>
      </c>
      <c r="N567" s="3">
        <f>INT(BrightTV_JoinedTablesnw_2026_04_16_23_55_09[[#This Row],[Viewership.RecordDate22]])</f>
        <v>42388</v>
      </c>
      <c r="O567" s="2">
        <v>0.88888888888888884</v>
      </c>
      <c r="P567" t="s">
        <v>56</v>
      </c>
      <c r="Q567">
        <v>764531</v>
      </c>
      <c r="R567" t="s">
        <v>20</v>
      </c>
    </row>
    <row r="568" spans="1:18" x14ac:dyDescent="0.25">
      <c r="A568">
        <v>764531</v>
      </c>
      <c r="B568" t="s">
        <v>317</v>
      </c>
      <c r="C568" t="s">
        <v>233</v>
      </c>
      <c r="D568" t="s">
        <v>536</v>
      </c>
      <c r="E568" t="s">
        <v>38</v>
      </c>
      <c r="F568" t="s">
        <v>96</v>
      </c>
      <c r="G568">
        <v>46</v>
      </c>
      <c r="H568" t="s">
        <v>138</v>
      </c>
      <c r="I568" t="s">
        <v>319</v>
      </c>
      <c r="J568">
        <v>764531</v>
      </c>
      <c r="K568" t="s">
        <v>62</v>
      </c>
      <c r="L568" s="1">
        <v>42388.359722222223</v>
      </c>
      <c r="M568" s="1">
        <v>42388</v>
      </c>
      <c r="N568" s="3">
        <f>INT(BrightTV_JoinedTablesnw_2026_04_16_23_55_09[[#This Row],[Viewership.RecordDate22]])</f>
        <v>42388</v>
      </c>
      <c r="O568" s="2">
        <v>0.35972222222222222</v>
      </c>
      <c r="P568" t="s">
        <v>806</v>
      </c>
      <c r="Q568">
        <v>764531</v>
      </c>
      <c r="R568" t="s">
        <v>20</v>
      </c>
    </row>
    <row r="569" spans="1:18" x14ac:dyDescent="0.25">
      <c r="A569">
        <v>764656</v>
      </c>
      <c r="B569" t="s">
        <v>219</v>
      </c>
      <c r="C569" t="s">
        <v>298</v>
      </c>
      <c r="D569" t="s">
        <v>594</v>
      </c>
      <c r="E569" t="s">
        <v>38</v>
      </c>
      <c r="F569" t="s">
        <v>106</v>
      </c>
      <c r="G569">
        <v>34</v>
      </c>
      <c r="H569" t="s">
        <v>60</v>
      </c>
      <c r="I569" t="s">
        <v>221</v>
      </c>
      <c r="J569">
        <v>764656</v>
      </c>
      <c r="K569" t="s">
        <v>47</v>
      </c>
      <c r="L569" s="1">
        <v>42374.460416666669</v>
      </c>
      <c r="M569" s="1">
        <v>42374</v>
      </c>
      <c r="N569" s="3">
        <f>INT(BrightTV_JoinedTablesnw_2026_04_16_23_55_09[[#This Row],[Viewership.RecordDate22]])</f>
        <v>42374</v>
      </c>
      <c r="O569" s="2">
        <v>0.46041666666666664</v>
      </c>
      <c r="P569" t="s">
        <v>807</v>
      </c>
      <c r="Q569">
        <v>764656</v>
      </c>
      <c r="R569" t="s">
        <v>20</v>
      </c>
    </row>
    <row r="570" spans="1:18" x14ac:dyDescent="0.25">
      <c r="A570">
        <v>809071</v>
      </c>
      <c r="B570" t="s">
        <v>550</v>
      </c>
      <c r="C570" t="s">
        <v>743</v>
      </c>
      <c r="D570" t="s">
        <v>808</v>
      </c>
      <c r="E570" t="s">
        <v>38</v>
      </c>
      <c r="F570" t="s">
        <v>39</v>
      </c>
      <c r="G570">
        <v>35</v>
      </c>
      <c r="H570" t="s">
        <v>40</v>
      </c>
      <c r="I570" t="s">
        <v>552</v>
      </c>
      <c r="J570">
        <v>809071</v>
      </c>
      <c r="K570" t="s">
        <v>496</v>
      </c>
      <c r="L570" s="1">
        <v>42434.34652777778</v>
      </c>
      <c r="M570" s="1">
        <v>42434</v>
      </c>
      <c r="N570" s="3">
        <f>INT(BrightTV_JoinedTablesnw_2026_04_16_23_55_09[[#This Row],[Viewership.RecordDate22]])</f>
        <v>42434</v>
      </c>
      <c r="O570" s="2">
        <v>0.34652777777777777</v>
      </c>
      <c r="P570" t="s">
        <v>809</v>
      </c>
      <c r="Q570">
        <v>809071</v>
      </c>
      <c r="R570" t="s">
        <v>20</v>
      </c>
    </row>
    <row r="571" spans="1:18" x14ac:dyDescent="0.25">
      <c r="A571">
        <v>809072</v>
      </c>
      <c r="B571" t="s">
        <v>154</v>
      </c>
      <c r="C571" t="s">
        <v>22</v>
      </c>
      <c r="D571" t="s">
        <v>348</v>
      </c>
      <c r="E571" t="s">
        <v>38</v>
      </c>
      <c r="F571" t="s">
        <v>39</v>
      </c>
      <c r="G571">
        <v>32</v>
      </c>
      <c r="H571" t="s">
        <v>52</v>
      </c>
      <c r="I571" t="s">
        <v>157</v>
      </c>
      <c r="J571">
        <v>809072</v>
      </c>
      <c r="K571" t="s">
        <v>30</v>
      </c>
      <c r="L571" s="1">
        <v>42422.427083333336</v>
      </c>
      <c r="M571" s="1">
        <v>42422</v>
      </c>
      <c r="N571" s="3">
        <f>INT(BrightTV_JoinedTablesnw_2026_04_16_23_55_09[[#This Row],[Viewership.RecordDate22]])</f>
        <v>42422</v>
      </c>
      <c r="O571" s="2">
        <v>0.42708333333333331</v>
      </c>
      <c r="P571" t="s">
        <v>810</v>
      </c>
      <c r="Q571">
        <v>809072</v>
      </c>
      <c r="R571" t="s">
        <v>20</v>
      </c>
    </row>
    <row r="572" spans="1:18" x14ac:dyDescent="0.25">
      <c r="A572">
        <v>809072</v>
      </c>
      <c r="B572" t="s">
        <v>154</v>
      </c>
      <c r="C572" t="s">
        <v>22</v>
      </c>
      <c r="D572" t="s">
        <v>348</v>
      </c>
      <c r="E572" t="s">
        <v>38</v>
      </c>
      <c r="F572" t="s">
        <v>39</v>
      </c>
      <c r="G572">
        <v>32</v>
      </c>
      <c r="H572" t="s">
        <v>52</v>
      </c>
      <c r="I572" t="s">
        <v>157</v>
      </c>
      <c r="J572">
        <v>809072</v>
      </c>
      <c r="K572" t="s">
        <v>30</v>
      </c>
      <c r="L572" s="1">
        <v>42421.740972222222</v>
      </c>
      <c r="M572" s="1">
        <v>42421</v>
      </c>
      <c r="N572" s="3">
        <f>INT(BrightTV_JoinedTablesnw_2026_04_16_23_55_09[[#This Row],[Viewership.RecordDate22]])</f>
        <v>42421</v>
      </c>
      <c r="O572" s="2">
        <v>0.74097222222222225</v>
      </c>
      <c r="P572" t="s">
        <v>275</v>
      </c>
      <c r="Q572">
        <v>809072</v>
      </c>
      <c r="R572" t="s">
        <v>20</v>
      </c>
    </row>
    <row r="573" spans="1:18" x14ac:dyDescent="0.25">
      <c r="A573">
        <v>809072</v>
      </c>
      <c r="B573" t="s">
        <v>154</v>
      </c>
      <c r="C573" t="s">
        <v>22</v>
      </c>
      <c r="D573" t="s">
        <v>348</v>
      </c>
      <c r="E573" t="s">
        <v>38</v>
      </c>
      <c r="F573" t="s">
        <v>39</v>
      </c>
      <c r="G573">
        <v>32</v>
      </c>
      <c r="H573" t="s">
        <v>52</v>
      </c>
      <c r="I573" t="s">
        <v>157</v>
      </c>
      <c r="J573">
        <v>809072</v>
      </c>
      <c r="K573" t="s">
        <v>32</v>
      </c>
      <c r="L573" s="1">
        <v>42412.35</v>
      </c>
      <c r="M573" s="1">
        <v>42412</v>
      </c>
      <c r="N573" s="3">
        <f>INT(BrightTV_JoinedTablesnw_2026_04_16_23_55_09[[#This Row],[Viewership.RecordDate22]])</f>
        <v>42412</v>
      </c>
      <c r="O573" s="2">
        <v>0.35</v>
      </c>
      <c r="P573" t="s">
        <v>811</v>
      </c>
      <c r="Q573">
        <v>809072</v>
      </c>
      <c r="R573" t="s">
        <v>20</v>
      </c>
    </row>
    <row r="574" spans="1:18" x14ac:dyDescent="0.25">
      <c r="A574">
        <v>809076</v>
      </c>
      <c r="B574" t="s">
        <v>72</v>
      </c>
      <c r="C574" t="s">
        <v>58</v>
      </c>
      <c r="D574" t="s">
        <v>74</v>
      </c>
      <c r="E574" t="s">
        <v>38</v>
      </c>
      <c r="F574" t="s">
        <v>96</v>
      </c>
      <c r="G574">
        <v>27</v>
      </c>
      <c r="H574" t="s">
        <v>60</v>
      </c>
      <c r="I574" t="s">
        <v>76</v>
      </c>
      <c r="J574">
        <v>809076</v>
      </c>
      <c r="K574" t="s">
        <v>84</v>
      </c>
      <c r="L574" s="1">
        <v>42420.033333333333</v>
      </c>
      <c r="M574" s="1">
        <v>42420</v>
      </c>
      <c r="N574" s="3">
        <f>INT(BrightTV_JoinedTablesnw_2026_04_16_23_55_09[[#This Row],[Viewership.RecordDate22]])</f>
        <v>42420</v>
      </c>
      <c r="O574" s="2">
        <v>3.3333333333333333E-2</v>
      </c>
      <c r="P574" t="s">
        <v>468</v>
      </c>
      <c r="Q574">
        <v>809076</v>
      </c>
      <c r="R574" t="s">
        <v>20</v>
      </c>
    </row>
    <row r="575" spans="1:18" x14ac:dyDescent="0.25">
      <c r="A575">
        <v>809076</v>
      </c>
      <c r="B575" t="s">
        <v>72</v>
      </c>
      <c r="C575" t="s">
        <v>58</v>
      </c>
      <c r="D575" t="s">
        <v>74</v>
      </c>
      <c r="E575" t="s">
        <v>38</v>
      </c>
      <c r="F575" t="s">
        <v>96</v>
      </c>
      <c r="G575">
        <v>27</v>
      </c>
      <c r="H575" t="s">
        <v>60</v>
      </c>
      <c r="I575" t="s">
        <v>76</v>
      </c>
      <c r="J575">
        <v>809076</v>
      </c>
      <c r="K575" t="s">
        <v>32</v>
      </c>
      <c r="L575" s="1">
        <v>42419.782638888886</v>
      </c>
      <c r="M575" s="1">
        <v>42419</v>
      </c>
      <c r="N575" s="3">
        <f>INT(BrightTV_JoinedTablesnw_2026_04_16_23_55_09[[#This Row],[Viewership.RecordDate22]])</f>
        <v>42419</v>
      </c>
      <c r="O575" s="2">
        <v>0.78263888888888888</v>
      </c>
      <c r="P575" t="s">
        <v>335</v>
      </c>
      <c r="Q575">
        <v>809076</v>
      </c>
      <c r="R575" t="s">
        <v>20</v>
      </c>
    </row>
    <row r="576" spans="1:18" x14ac:dyDescent="0.25">
      <c r="A576">
        <v>809076</v>
      </c>
      <c r="B576" t="s">
        <v>72</v>
      </c>
      <c r="C576" t="s">
        <v>58</v>
      </c>
      <c r="D576" t="s">
        <v>74</v>
      </c>
      <c r="E576" t="s">
        <v>38</v>
      </c>
      <c r="F576" t="s">
        <v>96</v>
      </c>
      <c r="G576">
        <v>27</v>
      </c>
      <c r="H576" t="s">
        <v>60</v>
      </c>
      <c r="I576" t="s">
        <v>76</v>
      </c>
      <c r="J576">
        <v>809076</v>
      </c>
      <c r="K576" t="s">
        <v>18</v>
      </c>
      <c r="L576" s="1">
        <v>42420.386111111111</v>
      </c>
      <c r="M576" s="1">
        <v>42420</v>
      </c>
      <c r="N576" s="3">
        <f>INT(BrightTV_JoinedTablesnw_2026_04_16_23_55_09[[#This Row],[Viewership.RecordDate22]])</f>
        <v>42420</v>
      </c>
      <c r="O576" s="2">
        <v>0.38611111111111113</v>
      </c>
      <c r="P576" t="s">
        <v>63</v>
      </c>
      <c r="Q576">
        <v>809076</v>
      </c>
      <c r="R576" t="s">
        <v>20</v>
      </c>
    </row>
    <row r="577" spans="1:18" x14ac:dyDescent="0.25">
      <c r="A577">
        <v>809076</v>
      </c>
      <c r="B577" t="s">
        <v>72</v>
      </c>
      <c r="C577" t="s">
        <v>58</v>
      </c>
      <c r="D577" t="s">
        <v>74</v>
      </c>
      <c r="E577" t="s">
        <v>38</v>
      </c>
      <c r="F577" t="s">
        <v>96</v>
      </c>
      <c r="G577">
        <v>27</v>
      </c>
      <c r="H577" t="s">
        <v>60</v>
      </c>
      <c r="I577" t="s">
        <v>76</v>
      </c>
      <c r="J577">
        <v>809076</v>
      </c>
      <c r="K577" t="s">
        <v>47</v>
      </c>
      <c r="L577" s="1">
        <v>42420.388888888891</v>
      </c>
      <c r="M577" s="1">
        <v>42420</v>
      </c>
      <c r="N577" s="3">
        <f>INT(BrightTV_JoinedTablesnw_2026_04_16_23_55_09[[#This Row],[Viewership.RecordDate22]])</f>
        <v>42420</v>
      </c>
      <c r="O577" s="2">
        <v>0.3888888888888889</v>
      </c>
      <c r="P577" t="s">
        <v>717</v>
      </c>
      <c r="Q577">
        <v>809076</v>
      </c>
      <c r="R577" t="s">
        <v>20</v>
      </c>
    </row>
    <row r="578" spans="1:18" x14ac:dyDescent="0.25">
      <c r="A578">
        <v>809076</v>
      </c>
      <c r="B578" t="s">
        <v>72</v>
      </c>
      <c r="C578" t="s">
        <v>58</v>
      </c>
      <c r="D578" t="s">
        <v>74</v>
      </c>
      <c r="E578" t="s">
        <v>38</v>
      </c>
      <c r="F578" t="s">
        <v>96</v>
      </c>
      <c r="G578">
        <v>27</v>
      </c>
      <c r="H578" t="s">
        <v>60</v>
      </c>
      <c r="I578" t="s">
        <v>76</v>
      </c>
      <c r="J578">
        <v>809076</v>
      </c>
      <c r="K578" t="s">
        <v>32</v>
      </c>
      <c r="L578" s="1">
        <v>42419.329861111109</v>
      </c>
      <c r="M578" s="1">
        <v>42419</v>
      </c>
      <c r="N578" s="3">
        <f>INT(BrightTV_JoinedTablesnw_2026_04_16_23_55_09[[#This Row],[Viewership.RecordDate22]])</f>
        <v>42419</v>
      </c>
      <c r="O578" s="2">
        <v>0.3298611111111111</v>
      </c>
      <c r="P578" t="s">
        <v>812</v>
      </c>
      <c r="Q578">
        <v>809076</v>
      </c>
      <c r="R578" t="s">
        <v>20</v>
      </c>
    </row>
    <row r="579" spans="1:18" x14ac:dyDescent="0.25">
      <c r="A579">
        <v>809076</v>
      </c>
      <c r="B579" t="s">
        <v>72</v>
      </c>
      <c r="C579" t="s">
        <v>58</v>
      </c>
      <c r="D579" t="s">
        <v>74</v>
      </c>
      <c r="E579" t="s">
        <v>38</v>
      </c>
      <c r="F579" t="s">
        <v>96</v>
      </c>
      <c r="G579">
        <v>27</v>
      </c>
      <c r="H579" t="s">
        <v>60</v>
      </c>
      <c r="I579" t="s">
        <v>76</v>
      </c>
      <c r="J579">
        <v>809076</v>
      </c>
      <c r="K579" t="s">
        <v>47</v>
      </c>
      <c r="L579" s="1">
        <v>42419.348611111112</v>
      </c>
      <c r="M579" s="1">
        <v>42419</v>
      </c>
      <c r="N579" s="3">
        <f>INT(BrightTV_JoinedTablesnw_2026_04_16_23_55_09[[#This Row],[Viewership.RecordDate22]])</f>
        <v>42419</v>
      </c>
      <c r="O579" s="2">
        <v>0.34861111111111109</v>
      </c>
      <c r="P579" t="s">
        <v>287</v>
      </c>
      <c r="Q579">
        <v>809076</v>
      </c>
      <c r="R579" t="s">
        <v>20</v>
      </c>
    </row>
    <row r="580" spans="1:18" x14ac:dyDescent="0.25">
      <c r="A580">
        <v>809076</v>
      </c>
      <c r="B580" t="s">
        <v>72</v>
      </c>
      <c r="C580" t="s">
        <v>58</v>
      </c>
      <c r="D580" t="s">
        <v>74</v>
      </c>
      <c r="E580" t="s">
        <v>38</v>
      </c>
      <c r="F580" t="s">
        <v>96</v>
      </c>
      <c r="G580">
        <v>27</v>
      </c>
      <c r="H580" t="s">
        <v>60</v>
      </c>
      <c r="I580" t="s">
        <v>76</v>
      </c>
      <c r="J580">
        <v>809076</v>
      </c>
      <c r="K580" t="s">
        <v>32</v>
      </c>
      <c r="L580" s="1">
        <v>42437.604166666664</v>
      </c>
      <c r="M580" s="1">
        <v>42437</v>
      </c>
      <c r="N580" s="3">
        <f>INT(BrightTV_JoinedTablesnw_2026_04_16_23_55_09[[#This Row],[Viewership.RecordDate22]])</f>
        <v>42437</v>
      </c>
      <c r="O580" s="2">
        <v>0.60416666666666663</v>
      </c>
      <c r="P580" t="s">
        <v>813</v>
      </c>
      <c r="Q580">
        <v>809076</v>
      </c>
      <c r="R580" t="s">
        <v>20</v>
      </c>
    </row>
    <row r="581" spans="1:18" x14ac:dyDescent="0.25">
      <c r="A581">
        <v>809076</v>
      </c>
      <c r="B581" t="s">
        <v>72</v>
      </c>
      <c r="C581" t="s">
        <v>58</v>
      </c>
      <c r="D581" t="s">
        <v>74</v>
      </c>
      <c r="E581" t="s">
        <v>38</v>
      </c>
      <c r="F581" t="s">
        <v>96</v>
      </c>
      <c r="G581">
        <v>27</v>
      </c>
      <c r="H581" t="s">
        <v>60</v>
      </c>
      <c r="I581" t="s">
        <v>76</v>
      </c>
      <c r="J581">
        <v>809076</v>
      </c>
      <c r="K581" t="s">
        <v>47</v>
      </c>
      <c r="L581" s="1">
        <v>42447.559027777781</v>
      </c>
      <c r="M581" s="1">
        <v>42447</v>
      </c>
      <c r="N581" s="3">
        <f>INT(BrightTV_JoinedTablesnw_2026_04_16_23_55_09[[#This Row],[Viewership.RecordDate22]])</f>
        <v>42447</v>
      </c>
      <c r="O581" s="2">
        <v>0.55902777777777779</v>
      </c>
      <c r="P581" t="s">
        <v>814</v>
      </c>
      <c r="Q581">
        <v>809076</v>
      </c>
      <c r="R581" t="s">
        <v>20</v>
      </c>
    </row>
    <row r="582" spans="1:18" x14ac:dyDescent="0.25">
      <c r="A582">
        <v>809076</v>
      </c>
      <c r="B582" t="s">
        <v>72</v>
      </c>
      <c r="C582" t="s">
        <v>58</v>
      </c>
      <c r="D582" t="s">
        <v>74</v>
      </c>
      <c r="E582" t="s">
        <v>38</v>
      </c>
      <c r="F582" t="s">
        <v>96</v>
      </c>
      <c r="G582">
        <v>27</v>
      </c>
      <c r="H582" t="s">
        <v>60</v>
      </c>
      <c r="I582" t="s">
        <v>76</v>
      </c>
      <c r="J582">
        <v>809076</v>
      </c>
      <c r="K582" t="s">
        <v>129</v>
      </c>
      <c r="L582" s="1">
        <v>42433.965277777781</v>
      </c>
      <c r="M582" s="1">
        <v>42433</v>
      </c>
      <c r="N582" s="3">
        <f>INT(BrightTV_JoinedTablesnw_2026_04_16_23_55_09[[#This Row],[Viewership.RecordDate22]])</f>
        <v>42433</v>
      </c>
      <c r="O582" s="2">
        <v>0.96527777777777779</v>
      </c>
      <c r="P582" t="s">
        <v>797</v>
      </c>
      <c r="Q582">
        <v>809076</v>
      </c>
      <c r="R582" t="s">
        <v>20</v>
      </c>
    </row>
    <row r="583" spans="1:18" x14ac:dyDescent="0.25">
      <c r="A583">
        <v>809076</v>
      </c>
      <c r="B583" t="s">
        <v>72</v>
      </c>
      <c r="C583" t="s">
        <v>58</v>
      </c>
      <c r="D583" t="s">
        <v>74</v>
      </c>
      <c r="E583" t="s">
        <v>38</v>
      </c>
      <c r="F583" t="s">
        <v>96</v>
      </c>
      <c r="G583">
        <v>27</v>
      </c>
      <c r="H583" t="s">
        <v>60</v>
      </c>
      <c r="I583" t="s">
        <v>76</v>
      </c>
      <c r="J583">
        <v>809076</v>
      </c>
      <c r="K583" t="s">
        <v>32</v>
      </c>
      <c r="L583" s="1">
        <v>42434.043749999997</v>
      </c>
      <c r="M583" s="1">
        <v>42434</v>
      </c>
      <c r="N583" s="3">
        <f>INT(BrightTV_JoinedTablesnw_2026_04_16_23_55_09[[#This Row],[Viewership.RecordDate22]])</f>
        <v>42434</v>
      </c>
      <c r="O583" s="2">
        <v>4.3749999999999997E-2</v>
      </c>
      <c r="P583" t="s">
        <v>792</v>
      </c>
      <c r="Q583">
        <v>809076</v>
      </c>
      <c r="R583" t="s">
        <v>20</v>
      </c>
    </row>
    <row r="584" spans="1:18" x14ac:dyDescent="0.25">
      <c r="A584">
        <v>809076</v>
      </c>
      <c r="B584" t="s">
        <v>72</v>
      </c>
      <c r="C584" t="s">
        <v>58</v>
      </c>
      <c r="D584" t="s">
        <v>74</v>
      </c>
      <c r="E584" t="s">
        <v>38</v>
      </c>
      <c r="F584" t="s">
        <v>96</v>
      </c>
      <c r="G584">
        <v>27</v>
      </c>
      <c r="H584" t="s">
        <v>60</v>
      </c>
      <c r="I584" t="s">
        <v>76</v>
      </c>
      <c r="J584">
        <v>809076</v>
      </c>
      <c r="K584" t="s">
        <v>30</v>
      </c>
      <c r="L584" s="1">
        <v>42418.328472222223</v>
      </c>
      <c r="M584" s="1">
        <v>42418</v>
      </c>
      <c r="N584" s="3">
        <f>INT(BrightTV_JoinedTablesnw_2026_04_16_23_55_09[[#This Row],[Viewership.RecordDate22]])</f>
        <v>42418</v>
      </c>
      <c r="O584" s="2">
        <v>0.32847222222222222</v>
      </c>
      <c r="P584" t="s">
        <v>815</v>
      </c>
      <c r="Q584">
        <v>809076</v>
      </c>
      <c r="R584" t="s">
        <v>20</v>
      </c>
    </row>
    <row r="585" spans="1:18" x14ac:dyDescent="0.25">
      <c r="A585">
        <v>809076</v>
      </c>
      <c r="B585" t="s">
        <v>72</v>
      </c>
      <c r="C585" t="s">
        <v>58</v>
      </c>
      <c r="D585" t="s">
        <v>74</v>
      </c>
      <c r="E585" t="s">
        <v>38</v>
      </c>
      <c r="F585" t="s">
        <v>96</v>
      </c>
      <c r="G585">
        <v>27</v>
      </c>
      <c r="H585" t="s">
        <v>60</v>
      </c>
      <c r="I585" t="s">
        <v>76</v>
      </c>
      <c r="J585">
        <v>809076</v>
      </c>
      <c r="K585" t="s">
        <v>32</v>
      </c>
      <c r="L585" s="1">
        <v>42418.343055555553</v>
      </c>
      <c r="M585" s="1">
        <v>42418</v>
      </c>
      <c r="N585" s="3">
        <f>INT(BrightTV_JoinedTablesnw_2026_04_16_23_55_09[[#This Row],[Viewership.RecordDate22]])</f>
        <v>42418</v>
      </c>
      <c r="O585" s="2">
        <v>0.34305555555555556</v>
      </c>
      <c r="P585" t="s">
        <v>816</v>
      </c>
      <c r="Q585">
        <v>809076</v>
      </c>
      <c r="R585" t="s">
        <v>20</v>
      </c>
    </row>
    <row r="586" spans="1:18" x14ac:dyDescent="0.25">
      <c r="A586">
        <v>809076</v>
      </c>
      <c r="B586" t="s">
        <v>72</v>
      </c>
      <c r="C586" t="s">
        <v>58</v>
      </c>
      <c r="D586" t="s">
        <v>74</v>
      </c>
      <c r="E586" t="s">
        <v>38</v>
      </c>
      <c r="F586" t="s">
        <v>96</v>
      </c>
      <c r="G586">
        <v>27</v>
      </c>
      <c r="H586" t="s">
        <v>60</v>
      </c>
      <c r="I586" t="s">
        <v>76</v>
      </c>
      <c r="J586">
        <v>809076</v>
      </c>
      <c r="K586" t="s">
        <v>30</v>
      </c>
      <c r="L586" s="1">
        <v>42435.798611111109</v>
      </c>
      <c r="M586" s="1">
        <v>42435</v>
      </c>
      <c r="N586" s="3">
        <f>INT(BrightTV_JoinedTablesnw_2026_04_16_23_55_09[[#This Row],[Viewership.RecordDate22]])</f>
        <v>42435</v>
      </c>
      <c r="O586" s="2">
        <v>0.79861111111111116</v>
      </c>
      <c r="P586" t="s">
        <v>187</v>
      </c>
      <c r="Q586">
        <v>809076</v>
      </c>
      <c r="R586" t="s">
        <v>20</v>
      </c>
    </row>
    <row r="587" spans="1:18" x14ac:dyDescent="0.25">
      <c r="A587">
        <v>809076</v>
      </c>
      <c r="B587" t="s">
        <v>72</v>
      </c>
      <c r="C587" t="s">
        <v>58</v>
      </c>
      <c r="D587" t="s">
        <v>74</v>
      </c>
      <c r="E587" t="s">
        <v>38</v>
      </c>
      <c r="F587" t="s">
        <v>96</v>
      </c>
      <c r="G587">
        <v>27</v>
      </c>
      <c r="H587" t="s">
        <v>60</v>
      </c>
      <c r="I587" t="s">
        <v>76</v>
      </c>
      <c r="J587">
        <v>809076</v>
      </c>
      <c r="K587" t="s">
        <v>129</v>
      </c>
      <c r="L587" s="1">
        <v>42427.359027777777</v>
      </c>
      <c r="M587" s="1">
        <v>42427</v>
      </c>
      <c r="N587" s="3">
        <f>INT(BrightTV_JoinedTablesnw_2026_04_16_23_55_09[[#This Row],[Viewership.RecordDate22]])</f>
        <v>42427</v>
      </c>
      <c r="O587" s="2">
        <v>0.35902777777777778</v>
      </c>
      <c r="P587" t="s">
        <v>817</v>
      </c>
      <c r="Q587">
        <v>809076</v>
      </c>
      <c r="R587" t="s">
        <v>20</v>
      </c>
    </row>
    <row r="588" spans="1:18" x14ac:dyDescent="0.25">
      <c r="A588">
        <v>809076</v>
      </c>
      <c r="B588" t="s">
        <v>72</v>
      </c>
      <c r="C588" t="s">
        <v>58</v>
      </c>
      <c r="D588" t="s">
        <v>74</v>
      </c>
      <c r="E588" t="s">
        <v>38</v>
      </c>
      <c r="F588" t="s">
        <v>96</v>
      </c>
      <c r="G588">
        <v>27</v>
      </c>
      <c r="H588" t="s">
        <v>60</v>
      </c>
      <c r="I588" t="s">
        <v>76</v>
      </c>
      <c r="J588">
        <v>809076</v>
      </c>
      <c r="K588" t="s">
        <v>18</v>
      </c>
      <c r="L588" s="1">
        <v>42441.54791666667</v>
      </c>
      <c r="M588" s="1">
        <v>42441</v>
      </c>
      <c r="N588" s="3">
        <f>INT(BrightTV_JoinedTablesnw_2026_04_16_23_55_09[[#This Row],[Viewership.RecordDate22]])</f>
        <v>42441</v>
      </c>
      <c r="O588" s="2">
        <v>0.54791666666666672</v>
      </c>
      <c r="P588" t="s">
        <v>818</v>
      </c>
      <c r="Q588">
        <v>809076</v>
      </c>
      <c r="R588" t="s">
        <v>20</v>
      </c>
    </row>
    <row r="589" spans="1:18" x14ac:dyDescent="0.25">
      <c r="A589">
        <v>809076</v>
      </c>
      <c r="B589" t="s">
        <v>72</v>
      </c>
      <c r="C589" t="s">
        <v>58</v>
      </c>
      <c r="D589" t="s">
        <v>74</v>
      </c>
      <c r="E589" t="s">
        <v>38</v>
      </c>
      <c r="F589" t="s">
        <v>96</v>
      </c>
      <c r="G589">
        <v>27</v>
      </c>
      <c r="H589" t="s">
        <v>60</v>
      </c>
      <c r="I589" t="s">
        <v>76</v>
      </c>
      <c r="J589">
        <v>809076</v>
      </c>
      <c r="K589" t="s">
        <v>47</v>
      </c>
      <c r="L589" s="1">
        <v>42441.792361111111</v>
      </c>
      <c r="M589" s="1">
        <v>42441</v>
      </c>
      <c r="N589" s="3">
        <f>INT(BrightTV_JoinedTablesnw_2026_04_16_23_55_09[[#This Row],[Viewership.RecordDate22]])</f>
        <v>42441</v>
      </c>
      <c r="O589" s="2">
        <v>0.79236111111111107</v>
      </c>
      <c r="P589" t="s">
        <v>766</v>
      </c>
      <c r="Q589">
        <v>809076</v>
      </c>
      <c r="R589" t="s">
        <v>20</v>
      </c>
    </row>
    <row r="590" spans="1:18" x14ac:dyDescent="0.25">
      <c r="A590">
        <v>809076</v>
      </c>
      <c r="B590" t="s">
        <v>72</v>
      </c>
      <c r="C590" t="s">
        <v>58</v>
      </c>
      <c r="D590" t="s">
        <v>74</v>
      </c>
      <c r="E590" t="s">
        <v>38</v>
      </c>
      <c r="F590" t="s">
        <v>96</v>
      </c>
      <c r="G590">
        <v>27</v>
      </c>
      <c r="H590" t="s">
        <v>60</v>
      </c>
      <c r="I590" t="s">
        <v>76</v>
      </c>
      <c r="J590">
        <v>809076</v>
      </c>
      <c r="K590" t="s">
        <v>32</v>
      </c>
      <c r="L590" s="1">
        <v>42450.606249999997</v>
      </c>
      <c r="M590" s="1">
        <v>42450</v>
      </c>
      <c r="N590" s="3">
        <f>INT(BrightTV_JoinedTablesnw_2026_04_16_23_55_09[[#This Row],[Viewership.RecordDate22]])</f>
        <v>42450</v>
      </c>
      <c r="O590" s="2">
        <v>0.60624999999999996</v>
      </c>
      <c r="P590" t="s">
        <v>819</v>
      </c>
      <c r="Q590">
        <v>809076</v>
      </c>
      <c r="R590" t="s">
        <v>20</v>
      </c>
    </row>
    <row r="591" spans="1:18" x14ac:dyDescent="0.25">
      <c r="A591">
        <v>771123</v>
      </c>
      <c r="B591" t="s">
        <v>16</v>
      </c>
      <c r="C591" t="s">
        <v>16</v>
      </c>
      <c r="D591" t="s">
        <v>820</v>
      </c>
      <c r="E591" t="s">
        <v>16</v>
      </c>
      <c r="F591" t="s">
        <v>16</v>
      </c>
      <c r="G591">
        <v>0</v>
      </c>
      <c r="H591" t="s">
        <v>16</v>
      </c>
      <c r="I591" t="s">
        <v>16</v>
      </c>
      <c r="J591">
        <v>771123</v>
      </c>
      <c r="K591" t="s">
        <v>32</v>
      </c>
      <c r="L591" s="1">
        <v>42455.973611111112</v>
      </c>
      <c r="M591" s="1">
        <v>42455</v>
      </c>
      <c r="N591" s="3">
        <f>INT(BrightTV_JoinedTablesnw_2026_04_16_23_55_09[[#This Row],[Viewership.RecordDate22]])</f>
        <v>42455</v>
      </c>
      <c r="O591" s="2">
        <v>0.97361111111111109</v>
      </c>
      <c r="P591" t="s">
        <v>821</v>
      </c>
      <c r="Q591">
        <v>771123</v>
      </c>
      <c r="R591" t="s">
        <v>20</v>
      </c>
    </row>
    <row r="592" spans="1:18" x14ac:dyDescent="0.25">
      <c r="A592">
        <v>809079</v>
      </c>
      <c r="B592" t="s">
        <v>72</v>
      </c>
      <c r="C592" t="s">
        <v>525</v>
      </c>
      <c r="D592" t="s">
        <v>711</v>
      </c>
      <c r="E592" t="s">
        <v>38</v>
      </c>
      <c r="F592" t="s">
        <v>39</v>
      </c>
      <c r="G592">
        <v>30</v>
      </c>
      <c r="H592" t="s">
        <v>75</v>
      </c>
      <c r="I592" t="s">
        <v>76</v>
      </c>
      <c r="J592">
        <v>809079</v>
      </c>
      <c r="K592" t="s">
        <v>84</v>
      </c>
      <c r="L592" s="1">
        <v>42422.880555555559</v>
      </c>
      <c r="M592" s="1">
        <v>42422</v>
      </c>
      <c r="N592" s="3">
        <f>INT(BrightTV_JoinedTablesnw_2026_04_16_23_55_09[[#This Row],[Viewership.RecordDate22]])</f>
        <v>42422</v>
      </c>
      <c r="O592" s="2">
        <v>0.88055555555555554</v>
      </c>
      <c r="P592" t="s">
        <v>145</v>
      </c>
      <c r="Q592">
        <v>809079</v>
      </c>
      <c r="R592" t="s">
        <v>20</v>
      </c>
    </row>
    <row r="593" spans="1:18" x14ac:dyDescent="0.25">
      <c r="A593">
        <v>809079</v>
      </c>
      <c r="B593" t="s">
        <v>72</v>
      </c>
      <c r="C593" t="s">
        <v>525</v>
      </c>
      <c r="D593" t="s">
        <v>711</v>
      </c>
      <c r="E593" t="s">
        <v>38</v>
      </c>
      <c r="F593" t="s">
        <v>39</v>
      </c>
      <c r="G593">
        <v>30</v>
      </c>
      <c r="H593" t="s">
        <v>75</v>
      </c>
      <c r="I593" t="s">
        <v>76</v>
      </c>
      <c r="J593">
        <v>809079</v>
      </c>
      <c r="K593" t="s">
        <v>129</v>
      </c>
      <c r="L593" s="1">
        <v>42421.643750000003</v>
      </c>
      <c r="M593" s="1">
        <v>42421</v>
      </c>
      <c r="N593" s="3">
        <f>INT(BrightTV_JoinedTablesnw_2026_04_16_23_55_09[[#This Row],[Viewership.RecordDate22]])</f>
        <v>42421</v>
      </c>
      <c r="O593" s="2">
        <v>0.64375000000000004</v>
      </c>
      <c r="P593" t="s">
        <v>609</v>
      </c>
      <c r="Q593">
        <v>809079</v>
      </c>
      <c r="R593" t="s">
        <v>20</v>
      </c>
    </row>
    <row r="594" spans="1:18" x14ac:dyDescent="0.25">
      <c r="A594">
        <v>809079</v>
      </c>
      <c r="B594" t="s">
        <v>72</v>
      </c>
      <c r="C594" t="s">
        <v>525</v>
      </c>
      <c r="D594" t="s">
        <v>711</v>
      </c>
      <c r="E594" t="s">
        <v>38</v>
      </c>
      <c r="F594" t="s">
        <v>39</v>
      </c>
      <c r="G594">
        <v>30</v>
      </c>
      <c r="H594" t="s">
        <v>75</v>
      </c>
      <c r="I594" t="s">
        <v>76</v>
      </c>
      <c r="J594">
        <v>809079</v>
      </c>
      <c r="K594" t="s">
        <v>30</v>
      </c>
      <c r="L594" s="1">
        <v>42421.802083333336</v>
      </c>
      <c r="M594" s="1">
        <v>42421</v>
      </c>
      <c r="N594" s="3">
        <f>INT(BrightTV_JoinedTablesnw_2026_04_16_23_55_09[[#This Row],[Viewership.RecordDate22]])</f>
        <v>42421</v>
      </c>
      <c r="O594" s="2">
        <v>0.80208333333333337</v>
      </c>
      <c r="P594" t="s">
        <v>216</v>
      </c>
      <c r="Q594">
        <v>809079</v>
      </c>
      <c r="R594" t="s">
        <v>20</v>
      </c>
    </row>
    <row r="595" spans="1:18" x14ac:dyDescent="0.25">
      <c r="A595">
        <v>809079</v>
      </c>
      <c r="B595" t="s">
        <v>72</v>
      </c>
      <c r="C595" t="s">
        <v>525</v>
      </c>
      <c r="D595" t="s">
        <v>711</v>
      </c>
      <c r="E595" t="s">
        <v>38</v>
      </c>
      <c r="F595" t="s">
        <v>39</v>
      </c>
      <c r="G595">
        <v>30</v>
      </c>
      <c r="H595" t="s">
        <v>75</v>
      </c>
      <c r="I595" t="s">
        <v>76</v>
      </c>
      <c r="J595">
        <v>809079</v>
      </c>
      <c r="K595" t="s">
        <v>54</v>
      </c>
      <c r="L595" s="1">
        <v>42421.806944444441</v>
      </c>
      <c r="M595" s="1">
        <v>42421</v>
      </c>
      <c r="N595" s="3">
        <f>INT(BrightTV_JoinedTablesnw_2026_04_16_23_55_09[[#This Row],[Viewership.RecordDate22]])</f>
        <v>42421</v>
      </c>
      <c r="O595" s="2">
        <v>0.80694444444444446</v>
      </c>
      <c r="P595" t="s">
        <v>200</v>
      </c>
      <c r="Q595">
        <v>809079</v>
      </c>
      <c r="R595" t="s">
        <v>20</v>
      </c>
    </row>
    <row r="596" spans="1:18" x14ac:dyDescent="0.25">
      <c r="A596">
        <v>771147</v>
      </c>
      <c r="B596" t="s">
        <v>325</v>
      </c>
      <c r="C596" t="s">
        <v>155</v>
      </c>
      <c r="D596" t="s">
        <v>822</v>
      </c>
      <c r="E596" t="s">
        <v>38</v>
      </c>
      <c r="F596" t="s">
        <v>25</v>
      </c>
      <c r="G596">
        <v>28</v>
      </c>
      <c r="H596" t="s">
        <v>75</v>
      </c>
      <c r="I596" t="s">
        <v>327</v>
      </c>
      <c r="J596">
        <v>771147</v>
      </c>
      <c r="K596" t="s">
        <v>84</v>
      </c>
      <c r="L596" s="1">
        <v>42405.943749999999</v>
      </c>
      <c r="M596" s="1">
        <v>42405</v>
      </c>
      <c r="N596" s="3">
        <f>INT(BrightTV_JoinedTablesnw_2026_04_16_23_55_09[[#This Row],[Viewership.RecordDate22]])</f>
        <v>42405</v>
      </c>
      <c r="O596" s="2">
        <v>0.94374999999999998</v>
      </c>
      <c r="P596" t="s">
        <v>823</v>
      </c>
      <c r="Q596">
        <v>771147</v>
      </c>
      <c r="R596" t="s">
        <v>20</v>
      </c>
    </row>
    <row r="597" spans="1:18" x14ac:dyDescent="0.25">
      <c r="A597">
        <v>771147</v>
      </c>
      <c r="B597" t="s">
        <v>325</v>
      </c>
      <c r="C597" t="s">
        <v>155</v>
      </c>
      <c r="D597" t="s">
        <v>822</v>
      </c>
      <c r="E597" t="s">
        <v>38</v>
      </c>
      <c r="F597" t="s">
        <v>25</v>
      </c>
      <c r="G597">
        <v>28</v>
      </c>
      <c r="H597" t="s">
        <v>75</v>
      </c>
      <c r="I597" t="s">
        <v>327</v>
      </c>
      <c r="J597">
        <v>771147</v>
      </c>
      <c r="K597" t="s">
        <v>30</v>
      </c>
      <c r="L597" s="1">
        <v>42406.540277777778</v>
      </c>
      <c r="M597" s="1">
        <v>42406</v>
      </c>
      <c r="N597" s="3">
        <f>INT(BrightTV_JoinedTablesnw_2026_04_16_23_55_09[[#This Row],[Viewership.RecordDate22]])</f>
        <v>42406</v>
      </c>
      <c r="O597" s="2">
        <v>0.54027777777777775</v>
      </c>
      <c r="P597" t="s">
        <v>824</v>
      </c>
      <c r="Q597">
        <v>771147</v>
      </c>
      <c r="R597" t="s">
        <v>20</v>
      </c>
    </row>
    <row r="598" spans="1:18" x14ac:dyDescent="0.25">
      <c r="A598">
        <v>809081</v>
      </c>
      <c r="B598" t="s">
        <v>154</v>
      </c>
      <c r="C598" t="s">
        <v>772</v>
      </c>
      <c r="D598" t="s">
        <v>156</v>
      </c>
      <c r="E598" t="s">
        <v>38</v>
      </c>
      <c r="F598" t="s">
        <v>39</v>
      </c>
      <c r="G598">
        <v>23</v>
      </c>
      <c r="H598" t="s">
        <v>40</v>
      </c>
      <c r="I598" t="s">
        <v>157</v>
      </c>
      <c r="J598">
        <v>809081</v>
      </c>
      <c r="K598" t="s">
        <v>47</v>
      </c>
      <c r="L598" s="1">
        <v>42420.691666666666</v>
      </c>
      <c r="M598" s="1">
        <v>42420</v>
      </c>
      <c r="N598" s="3">
        <f>INT(BrightTV_JoinedTablesnw_2026_04_16_23_55_09[[#This Row],[Viewership.RecordDate22]])</f>
        <v>42420</v>
      </c>
      <c r="O598" s="2">
        <v>0.69166666666666665</v>
      </c>
      <c r="P598" t="s">
        <v>667</v>
      </c>
      <c r="Q598">
        <v>809081</v>
      </c>
      <c r="R598" t="s">
        <v>20</v>
      </c>
    </row>
    <row r="599" spans="1:18" x14ac:dyDescent="0.25">
      <c r="A599">
        <v>809081</v>
      </c>
      <c r="B599" t="s">
        <v>154</v>
      </c>
      <c r="C599" t="s">
        <v>772</v>
      </c>
      <c r="D599" t="s">
        <v>156</v>
      </c>
      <c r="E599" t="s">
        <v>38</v>
      </c>
      <c r="F599" t="s">
        <v>39</v>
      </c>
      <c r="G599">
        <v>23</v>
      </c>
      <c r="H599" t="s">
        <v>40</v>
      </c>
      <c r="I599" t="s">
        <v>157</v>
      </c>
      <c r="J599">
        <v>809081</v>
      </c>
      <c r="K599" t="s">
        <v>129</v>
      </c>
      <c r="L599" s="1">
        <v>42418.908333333333</v>
      </c>
      <c r="M599" s="1">
        <v>42418</v>
      </c>
      <c r="N599" s="3">
        <f>INT(BrightTV_JoinedTablesnw_2026_04_16_23_55_09[[#This Row],[Viewership.RecordDate22]])</f>
        <v>42418</v>
      </c>
      <c r="O599" s="2">
        <v>0.90833333333333333</v>
      </c>
      <c r="P599" t="s">
        <v>825</v>
      </c>
      <c r="Q599">
        <v>809081</v>
      </c>
      <c r="R599" t="s">
        <v>20</v>
      </c>
    </row>
    <row r="600" spans="1:18" x14ac:dyDescent="0.25">
      <c r="A600">
        <v>809081</v>
      </c>
      <c r="B600" t="s">
        <v>154</v>
      </c>
      <c r="C600" t="s">
        <v>772</v>
      </c>
      <c r="D600" t="s">
        <v>156</v>
      </c>
      <c r="E600" t="s">
        <v>38</v>
      </c>
      <c r="F600" t="s">
        <v>39</v>
      </c>
      <c r="G600">
        <v>23</v>
      </c>
      <c r="H600" t="s">
        <v>40</v>
      </c>
      <c r="I600" t="s">
        <v>157</v>
      </c>
      <c r="J600">
        <v>809081</v>
      </c>
      <c r="K600" t="s">
        <v>129</v>
      </c>
      <c r="L600" s="1">
        <v>42421.928472222222</v>
      </c>
      <c r="M600" s="1">
        <v>42421</v>
      </c>
      <c r="N600" s="3">
        <f>INT(BrightTV_JoinedTablesnw_2026_04_16_23_55_09[[#This Row],[Viewership.RecordDate22]])</f>
        <v>42421</v>
      </c>
      <c r="O600" s="2">
        <v>0.92847222222222225</v>
      </c>
      <c r="P600" t="s">
        <v>401</v>
      </c>
      <c r="Q600">
        <v>809081</v>
      </c>
      <c r="R600" t="s">
        <v>20</v>
      </c>
    </row>
    <row r="601" spans="1:18" x14ac:dyDescent="0.25">
      <c r="A601">
        <v>809081</v>
      </c>
      <c r="B601" t="s">
        <v>154</v>
      </c>
      <c r="C601" t="s">
        <v>772</v>
      </c>
      <c r="D601" t="s">
        <v>156</v>
      </c>
      <c r="E601" t="s">
        <v>38</v>
      </c>
      <c r="F601" t="s">
        <v>39</v>
      </c>
      <c r="G601">
        <v>23</v>
      </c>
      <c r="H601" t="s">
        <v>40</v>
      </c>
      <c r="I601" t="s">
        <v>157</v>
      </c>
      <c r="J601">
        <v>809081</v>
      </c>
      <c r="K601" t="s">
        <v>129</v>
      </c>
      <c r="L601" s="1">
        <v>42438.808333333334</v>
      </c>
      <c r="M601" s="1">
        <v>42438</v>
      </c>
      <c r="N601" s="3">
        <f>INT(BrightTV_JoinedTablesnw_2026_04_16_23_55_09[[#This Row],[Viewership.RecordDate22]])</f>
        <v>42438</v>
      </c>
      <c r="O601" s="2">
        <v>0.80833333333333335</v>
      </c>
      <c r="P601" t="s">
        <v>826</v>
      </c>
      <c r="Q601">
        <v>809081</v>
      </c>
      <c r="R601" t="s">
        <v>20</v>
      </c>
    </row>
    <row r="602" spans="1:18" x14ac:dyDescent="0.25">
      <c r="A602">
        <v>788787</v>
      </c>
      <c r="B602" t="s">
        <v>158</v>
      </c>
      <c r="C602" t="s">
        <v>659</v>
      </c>
      <c r="D602" t="s">
        <v>827</v>
      </c>
      <c r="E602" t="s">
        <v>38</v>
      </c>
      <c r="F602" t="s">
        <v>25</v>
      </c>
      <c r="G602">
        <v>19</v>
      </c>
      <c r="H602" t="s">
        <v>173</v>
      </c>
      <c r="I602" t="s">
        <v>160</v>
      </c>
      <c r="J602">
        <v>788787</v>
      </c>
      <c r="K602" t="s">
        <v>84</v>
      </c>
      <c r="L602" s="1">
        <v>42433.589583333334</v>
      </c>
      <c r="M602" s="1">
        <v>42433</v>
      </c>
      <c r="N602" s="3">
        <f>INT(BrightTV_JoinedTablesnw_2026_04_16_23_55_09[[#This Row],[Viewership.RecordDate22]])</f>
        <v>42433</v>
      </c>
      <c r="O602" s="2">
        <v>0.58958333333333335</v>
      </c>
      <c r="P602" t="s">
        <v>828</v>
      </c>
      <c r="Q602">
        <v>788787</v>
      </c>
      <c r="R602" t="s">
        <v>20</v>
      </c>
    </row>
    <row r="603" spans="1:18" x14ac:dyDescent="0.25">
      <c r="A603">
        <v>788787</v>
      </c>
      <c r="B603" t="s">
        <v>158</v>
      </c>
      <c r="C603" t="s">
        <v>659</v>
      </c>
      <c r="D603" t="s">
        <v>827</v>
      </c>
      <c r="E603" t="s">
        <v>38</v>
      </c>
      <c r="F603" t="s">
        <v>25</v>
      </c>
      <c r="G603">
        <v>19</v>
      </c>
      <c r="H603" t="s">
        <v>173</v>
      </c>
      <c r="I603" t="s">
        <v>160</v>
      </c>
      <c r="J603">
        <v>788787</v>
      </c>
      <c r="K603" t="s">
        <v>169</v>
      </c>
      <c r="L603" s="1">
        <v>42436.948611111111</v>
      </c>
      <c r="M603" s="1">
        <v>42436</v>
      </c>
      <c r="N603" s="3">
        <f>INT(BrightTV_JoinedTablesnw_2026_04_16_23_55_09[[#This Row],[Viewership.RecordDate22]])</f>
        <v>42436</v>
      </c>
      <c r="O603" s="2">
        <v>0.94861111111111107</v>
      </c>
      <c r="P603" t="s">
        <v>144</v>
      </c>
      <c r="Q603">
        <v>788787</v>
      </c>
      <c r="R603" t="s">
        <v>20</v>
      </c>
    </row>
    <row r="604" spans="1:18" x14ac:dyDescent="0.25">
      <c r="A604">
        <v>788788</v>
      </c>
      <c r="B604" t="s">
        <v>103</v>
      </c>
      <c r="C604" t="s">
        <v>305</v>
      </c>
      <c r="D604" t="s">
        <v>105</v>
      </c>
      <c r="E604" t="s">
        <v>38</v>
      </c>
      <c r="F604" t="s">
        <v>39</v>
      </c>
      <c r="G604">
        <v>40</v>
      </c>
      <c r="H604" t="s">
        <v>52</v>
      </c>
      <c r="I604" t="s">
        <v>107</v>
      </c>
      <c r="J604">
        <v>788788</v>
      </c>
      <c r="K604" t="s">
        <v>129</v>
      </c>
      <c r="L604" s="1">
        <v>42403.820138888892</v>
      </c>
      <c r="M604" s="1">
        <v>42403</v>
      </c>
      <c r="N604" s="3">
        <f>INT(BrightTV_JoinedTablesnw_2026_04_16_23_55_09[[#This Row],[Viewership.RecordDate22]])</f>
        <v>42403</v>
      </c>
      <c r="O604" s="2">
        <v>0.82013888888888886</v>
      </c>
      <c r="P604" t="s">
        <v>829</v>
      </c>
      <c r="Q604">
        <v>788788</v>
      </c>
      <c r="R604" t="s">
        <v>20</v>
      </c>
    </row>
    <row r="605" spans="1:18" x14ac:dyDescent="0.25">
      <c r="A605">
        <v>809083</v>
      </c>
      <c r="B605" t="s">
        <v>228</v>
      </c>
      <c r="C605" t="s">
        <v>659</v>
      </c>
      <c r="D605" t="s">
        <v>830</v>
      </c>
      <c r="E605" t="s">
        <v>38</v>
      </c>
      <c r="F605" t="s">
        <v>39</v>
      </c>
      <c r="G605">
        <v>40</v>
      </c>
      <c r="H605" t="s">
        <v>40</v>
      </c>
      <c r="I605" t="s">
        <v>230</v>
      </c>
      <c r="J605">
        <v>809083</v>
      </c>
      <c r="K605" t="s">
        <v>54</v>
      </c>
      <c r="L605" s="1">
        <v>42425.615277777775</v>
      </c>
      <c r="M605" s="1">
        <v>42425</v>
      </c>
      <c r="N605" s="3">
        <f>INT(BrightTV_JoinedTablesnw_2026_04_16_23_55_09[[#This Row],[Viewership.RecordDate22]])</f>
        <v>42425</v>
      </c>
      <c r="O605" s="2">
        <v>0.61527777777777781</v>
      </c>
      <c r="P605" t="s">
        <v>831</v>
      </c>
      <c r="Q605">
        <v>809083</v>
      </c>
      <c r="R605" t="s">
        <v>20</v>
      </c>
    </row>
    <row r="606" spans="1:18" x14ac:dyDescent="0.25">
      <c r="A606">
        <v>809083</v>
      </c>
      <c r="B606" t="s">
        <v>228</v>
      </c>
      <c r="C606" t="s">
        <v>659</v>
      </c>
      <c r="D606" t="s">
        <v>830</v>
      </c>
      <c r="E606" t="s">
        <v>38</v>
      </c>
      <c r="F606" t="s">
        <v>39</v>
      </c>
      <c r="G606">
        <v>40</v>
      </c>
      <c r="H606" t="s">
        <v>40</v>
      </c>
      <c r="I606" t="s">
        <v>230</v>
      </c>
      <c r="J606">
        <v>809083</v>
      </c>
      <c r="K606" t="s">
        <v>28</v>
      </c>
      <c r="L606" s="1">
        <v>42423.061805555553</v>
      </c>
      <c r="M606" s="1">
        <v>42423</v>
      </c>
      <c r="N606" s="3">
        <f>INT(BrightTV_JoinedTablesnw_2026_04_16_23_55_09[[#This Row],[Viewership.RecordDate22]])</f>
        <v>42423</v>
      </c>
      <c r="O606" s="2">
        <v>6.1805555555555558E-2</v>
      </c>
      <c r="P606" t="s">
        <v>461</v>
      </c>
      <c r="Q606">
        <v>809083</v>
      </c>
      <c r="R606" t="s">
        <v>20</v>
      </c>
    </row>
    <row r="607" spans="1:18" x14ac:dyDescent="0.25">
      <c r="A607">
        <v>771941</v>
      </c>
      <c r="B607" t="s">
        <v>426</v>
      </c>
      <c r="C607" t="s">
        <v>659</v>
      </c>
      <c r="D607" t="s">
        <v>832</v>
      </c>
      <c r="E607" t="s">
        <v>38</v>
      </c>
      <c r="F607" t="s">
        <v>96</v>
      </c>
      <c r="G607">
        <v>24</v>
      </c>
      <c r="H607" t="s">
        <v>60</v>
      </c>
      <c r="I607" t="s">
        <v>428</v>
      </c>
      <c r="J607">
        <v>771941</v>
      </c>
      <c r="K607" t="s">
        <v>32</v>
      </c>
      <c r="L607" s="1">
        <v>42379.754861111112</v>
      </c>
      <c r="M607" s="1">
        <v>42379</v>
      </c>
      <c r="N607" s="3">
        <f>INT(BrightTV_JoinedTablesnw_2026_04_16_23_55_09[[#This Row],[Viewership.RecordDate22]])</f>
        <v>42379</v>
      </c>
      <c r="O607" s="2">
        <v>0.75486111111111109</v>
      </c>
      <c r="P607" t="s">
        <v>63</v>
      </c>
      <c r="Q607">
        <v>771941</v>
      </c>
      <c r="R607" t="s">
        <v>20</v>
      </c>
    </row>
    <row r="608" spans="1:18" x14ac:dyDescent="0.25">
      <c r="A608">
        <v>771941</v>
      </c>
      <c r="B608" t="s">
        <v>426</v>
      </c>
      <c r="C608" t="s">
        <v>659</v>
      </c>
      <c r="D608" t="s">
        <v>832</v>
      </c>
      <c r="E608" t="s">
        <v>38</v>
      </c>
      <c r="F608" t="s">
        <v>96</v>
      </c>
      <c r="G608">
        <v>24</v>
      </c>
      <c r="H608" t="s">
        <v>60</v>
      </c>
      <c r="I608" t="s">
        <v>428</v>
      </c>
      <c r="J608">
        <v>771941</v>
      </c>
      <c r="K608" t="s">
        <v>32</v>
      </c>
      <c r="L608" s="1">
        <v>42400.961805555555</v>
      </c>
      <c r="M608" s="1">
        <v>42400</v>
      </c>
      <c r="N608" s="3">
        <f>INT(BrightTV_JoinedTablesnw_2026_04_16_23_55_09[[#This Row],[Viewership.RecordDate22]])</f>
        <v>42400</v>
      </c>
      <c r="O608" s="2">
        <v>0.96180555555555558</v>
      </c>
      <c r="P608" t="s">
        <v>833</v>
      </c>
      <c r="Q608">
        <v>771941</v>
      </c>
      <c r="R608" t="s">
        <v>20</v>
      </c>
    </row>
    <row r="609" spans="1:18" x14ac:dyDescent="0.25">
      <c r="A609">
        <v>771941</v>
      </c>
      <c r="B609" t="s">
        <v>426</v>
      </c>
      <c r="C609" t="s">
        <v>659</v>
      </c>
      <c r="D609" t="s">
        <v>832</v>
      </c>
      <c r="E609" t="s">
        <v>38</v>
      </c>
      <c r="F609" t="s">
        <v>96</v>
      </c>
      <c r="G609">
        <v>24</v>
      </c>
      <c r="H609" t="s">
        <v>60</v>
      </c>
      <c r="I609" t="s">
        <v>428</v>
      </c>
      <c r="J609">
        <v>771941</v>
      </c>
      <c r="K609" t="s">
        <v>77</v>
      </c>
      <c r="L609" s="1">
        <v>42380.238888888889</v>
      </c>
      <c r="M609" s="1">
        <v>42380</v>
      </c>
      <c r="N609" s="3">
        <f>INT(BrightTV_JoinedTablesnw_2026_04_16_23_55_09[[#This Row],[Viewership.RecordDate22]])</f>
        <v>42380</v>
      </c>
      <c r="O609" s="2">
        <v>0.2388888888888889</v>
      </c>
      <c r="P609" t="s">
        <v>834</v>
      </c>
      <c r="Q609">
        <v>771941</v>
      </c>
      <c r="R609" t="s">
        <v>20</v>
      </c>
    </row>
    <row r="610" spans="1:18" x14ac:dyDescent="0.25">
      <c r="A610">
        <v>771941</v>
      </c>
      <c r="B610" t="s">
        <v>426</v>
      </c>
      <c r="C610" t="s">
        <v>659</v>
      </c>
      <c r="D610" t="s">
        <v>832</v>
      </c>
      <c r="E610" t="s">
        <v>38</v>
      </c>
      <c r="F610" t="s">
        <v>96</v>
      </c>
      <c r="G610">
        <v>24</v>
      </c>
      <c r="H610" t="s">
        <v>60</v>
      </c>
      <c r="I610" t="s">
        <v>428</v>
      </c>
      <c r="J610">
        <v>771941</v>
      </c>
      <c r="K610" t="s">
        <v>32</v>
      </c>
      <c r="L610" s="1">
        <v>42399.913888888892</v>
      </c>
      <c r="M610" s="1">
        <v>42399</v>
      </c>
      <c r="N610" s="3">
        <f>INT(BrightTV_JoinedTablesnw_2026_04_16_23_55_09[[#This Row],[Viewership.RecordDate22]])</f>
        <v>42399</v>
      </c>
      <c r="O610" s="2">
        <v>0.91388888888888886</v>
      </c>
      <c r="P610" t="s">
        <v>835</v>
      </c>
      <c r="Q610">
        <v>771941</v>
      </c>
      <c r="R610" t="s">
        <v>20</v>
      </c>
    </row>
    <row r="611" spans="1:18" x14ac:dyDescent="0.25">
      <c r="A611">
        <v>771941</v>
      </c>
      <c r="B611" t="s">
        <v>426</v>
      </c>
      <c r="C611" t="s">
        <v>659</v>
      </c>
      <c r="D611" t="s">
        <v>832</v>
      </c>
      <c r="E611" t="s">
        <v>38</v>
      </c>
      <c r="F611" t="s">
        <v>96</v>
      </c>
      <c r="G611">
        <v>24</v>
      </c>
      <c r="H611" t="s">
        <v>60</v>
      </c>
      <c r="I611" t="s">
        <v>428</v>
      </c>
      <c r="J611">
        <v>771941</v>
      </c>
      <c r="K611" t="s">
        <v>77</v>
      </c>
      <c r="L611" s="1">
        <v>42394.917361111111</v>
      </c>
      <c r="M611" s="1">
        <v>42394</v>
      </c>
      <c r="N611" s="3">
        <f>INT(BrightTV_JoinedTablesnw_2026_04_16_23_55_09[[#This Row],[Viewership.RecordDate22]])</f>
        <v>42394</v>
      </c>
      <c r="O611" s="2">
        <v>0.91736111111111107</v>
      </c>
      <c r="P611" t="s">
        <v>836</v>
      </c>
      <c r="Q611">
        <v>771941</v>
      </c>
      <c r="R611" t="s">
        <v>20</v>
      </c>
    </row>
    <row r="612" spans="1:18" x14ac:dyDescent="0.25">
      <c r="A612">
        <v>771941</v>
      </c>
      <c r="B612" t="s">
        <v>426</v>
      </c>
      <c r="C612" t="s">
        <v>659</v>
      </c>
      <c r="D612" t="s">
        <v>832</v>
      </c>
      <c r="E612" t="s">
        <v>38</v>
      </c>
      <c r="F612" t="s">
        <v>96</v>
      </c>
      <c r="G612">
        <v>24</v>
      </c>
      <c r="H612" t="s">
        <v>60</v>
      </c>
      <c r="I612" t="s">
        <v>428</v>
      </c>
      <c r="J612">
        <v>771941</v>
      </c>
      <c r="K612" t="s">
        <v>186</v>
      </c>
      <c r="L612" s="1">
        <v>42380.341666666667</v>
      </c>
      <c r="M612" s="1">
        <v>42380</v>
      </c>
      <c r="N612" s="3">
        <f>INT(BrightTV_JoinedTablesnw_2026_04_16_23_55_09[[#This Row],[Viewership.RecordDate22]])</f>
        <v>42380</v>
      </c>
      <c r="O612" s="2">
        <v>0.34166666666666667</v>
      </c>
      <c r="P612" t="s">
        <v>837</v>
      </c>
      <c r="Q612">
        <v>771941</v>
      </c>
      <c r="R612" t="s">
        <v>20</v>
      </c>
    </row>
    <row r="613" spans="1:18" x14ac:dyDescent="0.25">
      <c r="A613">
        <v>771945</v>
      </c>
      <c r="B613" t="s">
        <v>542</v>
      </c>
      <c r="C613" t="s">
        <v>543</v>
      </c>
      <c r="D613" t="s">
        <v>838</v>
      </c>
      <c r="E613" t="s">
        <v>38</v>
      </c>
      <c r="F613" t="s">
        <v>39</v>
      </c>
      <c r="G613">
        <v>32</v>
      </c>
      <c r="H613" t="s">
        <v>52</v>
      </c>
      <c r="I613" t="s">
        <v>545</v>
      </c>
      <c r="J613">
        <v>771945</v>
      </c>
      <c r="K613" t="s">
        <v>77</v>
      </c>
      <c r="L613" s="1">
        <v>42407.876388888886</v>
      </c>
      <c r="M613" s="1">
        <v>42407</v>
      </c>
      <c r="N613" s="3">
        <f>INT(BrightTV_JoinedTablesnw_2026_04_16_23_55_09[[#This Row],[Viewership.RecordDate22]])</f>
        <v>42407</v>
      </c>
      <c r="O613" s="2">
        <v>0.87638888888888888</v>
      </c>
      <c r="P613" t="s">
        <v>554</v>
      </c>
      <c r="Q613">
        <v>771945</v>
      </c>
      <c r="R613" t="s">
        <v>20</v>
      </c>
    </row>
    <row r="614" spans="1:18" x14ac:dyDescent="0.25">
      <c r="A614">
        <v>771945</v>
      </c>
      <c r="B614" t="s">
        <v>542</v>
      </c>
      <c r="C614" t="s">
        <v>543</v>
      </c>
      <c r="D614" t="s">
        <v>838</v>
      </c>
      <c r="E614" t="s">
        <v>38</v>
      </c>
      <c r="F614" t="s">
        <v>39</v>
      </c>
      <c r="G614">
        <v>32</v>
      </c>
      <c r="H614" t="s">
        <v>52</v>
      </c>
      <c r="I614" t="s">
        <v>545</v>
      </c>
      <c r="J614">
        <v>771945</v>
      </c>
      <c r="K614" t="s">
        <v>28</v>
      </c>
      <c r="L614" s="1">
        <v>42397.902777777781</v>
      </c>
      <c r="M614" s="1">
        <v>42397</v>
      </c>
      <c r="N614" s="3">
        <f>INT(BrightTV_JoinedTablesnw_2026_04_16_23_55_09[[#This Row],[Viewership.RecordDate22]])</f>
        <v>42397</v>
      </c>
      <c r="O614" s="2">
        <v>0.90277777777777779</v>
      </c>
      <c r="P614" t="s">
        <v>504</v>
      </c>
      <c r="Q614">
        <v>771945</v>
      </c>
      <c r="R614" t="s">
        <v>20</v>
      </c>
    </row>
    <row r="615" spans="1:18" x14ac:dyDescent="0.25">
      <c r="A615">
        <v>771945</v>
      </c>
      <c r="B615" t="s">
        <v>542</v>
      </c>
      <c r="C615" t="s">
        <v>543</v>
      </c>
      <c r="D615" t="s">
        <v>838</v>
      </c>
      <c r="E615" t="s">
        <v>38</v>
      </c>
      <c r="F615" t="s">
        <v>39</v>
      </c>
      <c r="G615">
        <v>32</v>
      </c>
      <c r="H615" t="s">
        <v>52</v>
      </c>
      <c r="I615" t="s">
        <v>545</v>
      </c>
      <c r="J615">
        <v>771945</v>
      </c>
      <c r="K615" t="s">
        <v>129</v>
      </c>
      <c r="L615" s="1">
        <v>42396.477083333331</v>
      </c>
      <c r="M615" s="1">
        <v>42396</v>
      </c>
      <c r="N615" s="3">
        <f>INT(BrightTV_JoinedTablesnw_2026_04_16_23_55_09[[#This Row],[Viewership.RecordDate22]])</f>
        <v>42396</v>
      </c>
      <c r="O615" s="2">
        <v>0.47708333333333336</v>
      </c>
      <c r="P615" t="s">
        <v>839</v>
      </c>
      <c r="Q615">
        <v>771945</v>
      </c>
      <c r="R615" t="s">
        <v>20</v>
      </c>
    </row>
    <row r="616" spans="1:18" x14ac:dyDescent="0.25">
      <c r="A616">
        <v>771945</v>
      </c>
      <c r="B616" t="s">
        <v>542</v>
      </c>
      <c r="C616" t="s">
        <v>543</v>
      </c>
      <c r="D616" t="s">
        <v>838</v>
      </c>
      <c r="E616" t="s">
        <v>38</v>
      </c>
      <c r="F616" t="s">
        <v>39</v>
      </c>
      <c r="G616">
        <v>32</v>
      </c>
      <c r="H616" t="s">
        <v>52</v>
      </c>
      <c r="I616" t="s">
        <v>545</v>
      </c>
      <c r="J616">
        <v>771945</v>
      </c>
      <c r="K616" t="s">
        <v>152</v>
      </c>
      <c r="L616" s="1">
        <v>42396.426388888889</v>
      </c>
      <c r="M616" s="1">
        <v>42396</v>
      </c>
      <c r="N616" s="3">
        <f>INT(BrightTV_JoinedTablesnw_2026_04_16_23_55_09[[#This Row],[Viewership.RecordDate22]])</f>
        <v>42396</v>
      </c>
      <c r="O616" s="2">
        <v>0.42638888888888887</v>
      </c>
      <c r="P616" t="s">
        <v>322</v>
      </c>
      <c r="Q616">
        <v>771945</v>
      </c>
      <c r="R616" t="s">
        <v>20</v>
      </c>
    </row>
    <row r="617" spans="1:18" x14ac:dyDescent="0.25">
      <c r="A617">
        <v>771945</v>
      </c>
      <c r="B617" t="s">
        <v>542</v>
      </c>
      <c r="C617" t="s">
        <v>543</v>
      </c>
      <c r="D617" t="s">
        <v>838</v>
      </c>
      <c r="E617" t="s">
        <v>38</v>
      </c>
      <c r="F617" t="s">
        <v>39</v>
      </c>
      <c r="G617">
        <v>32</v>
      </c>
      <c r="H617" t="s">
        <v>52</v>
      </c>
      <c r="I617" t="s">
        <v>545</v>
      </c>
      <c r="J617">
        <v>771945</v>
      </c>
      <c r="K617" t="s">
        <v>54</v>
      </c>
      <c r="L617" s="1">
        <v>42457.656944444447</v>
      </c>
      <c r="M617" s="1">
        <v>42457</v>
      </c>
      <c r="N617" s="3">
        <f>INT(BrightTV_JoinedTablesnw_2026_04_16_23_55_09[[#This Row],[Viewership.RecordDate22]])</f>
        <v>42457</v>
      </c>
      <c r="O617" s="2">
        <v>0.65694444444444444</v>
      </c>
      <c r="P617" t="s">
        <v>840</v>
      </c>
      <c r="Q617">
        <v>771945</v>
      </c>
      <c r="R617" t="s">
        <v>20</v>
      </c>
    </row>
    <row r="618" spans="1:18" x14ac:dyDescent="0.25">
      <c r="A618">
        <v>771959</v>
      </c>
      <c r="B618" t="s">
        <v>103</v>
      </c>
      <c r="C618" t="s">
        <v>333</v>
      </c>
      <c r="D618" t="s">
        <v>841</v>
      </c>
      <c r="E618" t="s">
        <v>38</v>
      </c>
      <c r="F618" t="s">
        <v>39</v>
      </c>
      <c r="G618">
        <v>28</v>
      </c>
      <c r="H618" t="s">
        <v>60</v>
      </c>
      <c r="I618" t="s">
        <v>107</v>
      </c>
      <c r="J618">
        <v>771959</v>
      </c>
      <c r="K618" t="s">
        <v>32</v>
      </c>
      <c r="L618" s="1">
        <v>42404.739583333336</v>
      </c>
      <c r="M618" s="1">
        <v>42404</v>
      </c>
      <c r="N618" s="3">
        <f>INT(BrightTV_JoinedTablesnw_2026_04_16_23_55_09[[#This Row],[Viewership.RecordDate22]])</f>
        <v>42404</v>
      </c>
      <c r="O618" s="2">
        <v>0.73958333333333337</v>
      </c>
      <c r="P618" t="s">
        <v>264</v>
      </c>
      <c r="Q618">
        <v>771959</v>
      </c>
      <c r="R618" t="s">
        <v>20</v>
      </c>
    </row>
    <row r="619" spans="1:18" x14ac:dyDescent="0.25">
      <c r="A619">
        <v>771974</v>
      </c>
      <c r="B619" t="s">
        <v>267</v>
      </c>
      <c r="C619" t="s">
        <v>224</v>
      </c>
      <c r="D619" t="s">
        <v>354</v>
      </c>
      <c r="E619" t="s">
        <v>38</v>
      </c>
      <c r="F619" t="s">
        <v>39</v>
      </c>
      <c r="G619">
        <v>23</v>
      </c>
      <c r="H619" t="s">
        <v>26</v>
      </c>
      <c r="I619" t="s">
        <v>269</v>
      </c>
      <c r="J619">
        <v>771974</v>
      </c>
      <c r="K619" t="s">
        <v>32</v>
      </c>
      <c r="L619" s="1">
        <v>42402.519444444442</v>
      </c>
      <c r="M619" s="1">
        <v>42402</v>
      </c>
      <c r="N619" s="3">
        <f>INT(BrightTV_JoinedTablesnw_2026_04_16_23_55_09[[#This Row],[Viewership.RecordDate22]])</f>
        <v>42402</v>
      </c>
      <c r="O619" s="2">
        <v>0.51944444444444449</v>
      </c>
      <c r="P619" t="s">
        <v>842</v>
      </c>
      <c r="Q619">
        <v>771974</v>
      </c>
      <c r="R619" t="s">
        <v>20</v>
      </c>
    </row>
    <row r="620" spans="1:18" x14ac:dyDescent="0.25">
      <c r="A620">
        <v>771974</v>
      </c>
      <c r="B620" t="s">
        <v>267</v>
      </c>
      <c r="C620" t="s">
        <v>224</v>
      </c>
      <c r="D620" t="s">
        <v>354</v>
      </c>
      <c r="E620" t="s">
        <v>38</v>
      </c>
      <c r="F620" t="s">
        <v>39</v>
      </c>
      <c r="G620">
        <v>23</v>
      </c>
      <c r="H620" t="s">
        <v>26</v>
      </c>
      <c r="I620" t="s">
        <v>269</v>
      </c>
      <c r="J620">
        <v>771974</v>
      </c>
      <c r="K620" t="s">
        <v>77</v>
      </c>
      <c r="L620" s="1">
        <v>42410.474999999999</v>
      </c>
      <c r="M620" s="1">
        <v>42410</v>
      </c>
      <c r="N620" s="3">
        <f>INT(BrightTV_JoinedTablesnw_2026_04_16_23_55_09[[#This Row],[Viewership.RecordDate22]])</f>
        <v>42410</v>
      </c>
      <c r="O620" s="2">
        <v>0.47499999999999998</v>
      </c>
      <c r="P620" t="s">
        <v>289</v>
      </c>
      <c r="Q620">
        <v>771974</v>
      </c>
      <c r="R620" t="s">
        <v>20</v>
      </c>
    </row>
    <row r="621" spans="1:18" x14ac:dyDescent="0.25">
      <c r="A621">
        <v>771974</v>
      </c>
      <c r="B621" t="s">
        <v>267</v>
      </c>
      <c r="C621" t="s">
        <v>224</v>
      </c>
      <c r="D621" t="s">
        <v>354</v>
      </c>
      <c r="E621" t="s">
        <v>38</v>
      </c>
      <c r="F621" t="s">
        <v>39</v>
      </c>
      <c r="G621">
        <v>23</v>
      </c>
      <c r="H621" t="s">
        <v>26</v>
      </c>
      <c r="I621" t="s">
        <v>269</v>
      </c>
      <c r="J621">
        <v>771974</v>
      </c>
      <c r="K621" t="s">
        <v>77</v>
      </c>
      <c r="L621" s="1">
        <v>42399.594444444447</v>
      </c>
      <c r="M621" s="1">
        <v>42399</v>
      </c>
      <c r="N621" s="3">
        <f>INT(BrightTV_JoinedTablesnw_2026_04_16_23_55_09[[#This Row],[Viewership.RecordDate22]])</f>
        <v>42399</v>
      </c>
      <c r="O621" s="2">
        <v>0.59444444444444444</v>
      </c>
      <c r="P621" t="s">
        <v>264</v>
      </c>
      <c r="Q621">
        <v>771974</v>
      </c>
      <c r="R621" t="s">
        <v>20</v>
      </c>
    </row>
    <row r="622" spans="1:18" x14ac:dyDescent="0.25">
      <c r="A622">
        <v>771974</v>
      </c>
      <c r="B622" t="s">
        <v>267</v>
      </c>
      <c r="C622" t="s">
        <v>224</v>
      </c>
      <c r="D622" t="s">
        <v>354</v>
      </c>
      <c r="E622" t="s">
        <v>38</v>
      </c>
      <c r="F622" t="s">
        <v>39</v>
      </c>
      <c r="G622">
        <v>23</v>
      </c>
      <c r="H622" t="s">
        <v>26</v>
      </c>
      <c r="I622" t="s">
        <v>269</v>
      </c>
      <c r="J622">
        <v>771974</v>
      </c>
      <c r="K622" t="s">
        <v>32</v>
      </c>
      <c r="L622" s="1">
        <v>42398.974305555559</v>
      </c>
      <c r="M622" s="1">
        <v>42398</v>
      </c>
      <c r="N622" s="3">
        <f>INT(BrightTV_JoinedTablesnw_2026_04_16_23_55_09[[#This Row],[Viewership.RecordDate22]])</f>
        <v>42398</v>
      </c>
      <c r="O622" s="2">
        <v>0.97430555555555554</v>
      </c>
      <c r="P622" t="s">
        <v>79</v>
      </c>
      <c r="Q622">
        <v>771974</v>
      </c>
      <c r="R622" t="s">
        <v>20</v>
      </c>
    </row>
    <row r="623" spans="1:18" x14ac:dyDescent="0.25">
      <c r="A623">
        <v>771974</v>
      </c>
      <c r="B623" t="s">
        <v>267</v>
      </c>
      <c r="C623" t="s">
        <v>224</v>
      </c>
      <c r="D623" t="s">
        <v>354</v>
      </c>
      <c r="E623" t="s">
        <v>38</v>
      </c>
      <c r="F623" t="s">
        <v>39</v>
      </c>
      <c r="G623">
        <v>23</v>
      </c>
      <c r="H623" t="s">
        <v>26</v>
      </c>
      <c r="I623" t="s">
        <v>269</v>
      </c>
      <c r="J623">
        <v>771974</v>
      </c>
      <c r="K623" t="s">
        <v>32</v>
      </c>
      <c r="L623" s="1">
        <v>42399.57708333333</v>
      </c>
      <c r="M623" s="1">
        <v>42399</v>
      </c>
      <c r="N623" s="3">
        <f>INT(BrightTV_JoinedTablesnw_2026_04_16_23_55_09[[#This Row],[Viewership.RecordDate22]])</f>
        <v>42399</v>
      </c>
      <c r="O623" s="2">
        <v>0.57708333333333328</v>
      </c>
      <c r="P623" t="s">
        <v>843</v>
      </c>
      <c r="Q623">
        <v>771974</v>
      </c>
      <c r="R623" t="s">
        <v>20</v>
      </c>
    </row>
    <row r="624" spans="1:18" x14ac:dyDescent="0.25">
      <c r="A624">
        <v>771978</v>
      </c>
      <c r="B624" t="s">
        <v>437</v>
      </c>
      <c r="C624" t="s">
        <v>111</v>
      </c>
      <c r="D624" t="s">
        <v>844</v>
      </c>
      <c r="E624" t="s">
        <v>38</v>
      </c>
      <c r="F624" t="s">
        <v>39</v>
      </c>
      <c r="G624">
        <v>23</v>
      </c>
      <c r="H624" t="s">
        <v>52</v>
      </c>
      <c r="I624" t="s">
        <v>439</v>
      </c>
      <c r="J624">
        <v>771978</v>
      </c>
      <c r="K624" t="s">
        <v>30</v>
      </c>
      <c r="L624" s="1">
        <v>42405.212500000001</v>
      </c>
      <c r="M624" s="1">
        <v>42405</v>
      </c>
      <c r="N624" s="3">
        <f>INT(BrightTV_JoinedTablesnw_2026_04_16_23_55_09[[#This Row],[Viewership.RecordDate22]])</f>
        <v>42405</v>
      </c>
      <c r="O624" s="2">
        <v>0.21249999999999999</v>
      </c>
      <c r="P624" t="s">
        <v>596</v>
      </c>
      <c r="Q624">
        <v>771978</v>
      </c>
      <c r="R624" t="s">
        <v>20</v>
      </c>
    </row>
    <row r="625" spans="1:18" x14ac:dyDescent="0.25">
      <c r="A625">
        <v>771985</v>
      </c>
      <c r="B625" t="s">
        <v>702</v>
      </c>
      <c r="C625" t="s">
        <v>659</v>
      </c>
      <c r="D625" t="s">
        <v>845</v>
      </c>
      <c r="E625" t="s">
        <v>24</v>
      </c>
      <c r="F625" t="s">
        <v>39</v>
      </c>
      <c r="G625">
        <v>23</v>
      </c>
      <c r="H625" t="s">
        <v>40</v>
      </c>
      <c r="I625" t="s">
        <v>846</v>
      </c>
      <c r="J625">
        <v>771985</v>
      </c>
      <c r="K625" t="s">
        <v>77</v>
      </c>
      <c r="L625" s="1">
        <v>42404.772222222222</v>
      </c>
      <c r="M625" s="1">
        <v>42404</v>
      </c>
      <c r="N625" s="3">
        <f>INT(BrightTV_JoinedTablesnw_2026_04_16_23_55_09[[#This Row],[Viewership.RecordDate22]])</f>
        <v>42404</v>
      </c>
      <c r="O625" s="2">
        <v>0.77222222222222225</v>
      </c>
      <c r="P625" t="s">
        <v>847</v>
      </c>
      <c r="Q625">
        <v>771985</v>
      </c>
      <c r="R625" t="s">
        <v>20</v>
      </c>
    </row>
    <row r="626" spans="1:18" x14ac:dyDescent="0.25">
      <c r="A626">
        <v>771985</v>
      </c>
      <c r="B626" t="s">
        <v>702</v>
      </c>
      <c r="C626" t="s">
        <v>659</v>
      </c>
      <c r="D626" t="s">
        <v>845</v>
      </c>
      <c r="E626" t="s">
        <v>24</v>
      </c>
      <c r="F626" t="s">
        <v>39</v>
      </c>
      <c r="G626">
        <v>23</v>
      </c>
      <c r="H626" t="s">
        <v>40</v>
      </c>
      <c r="I626" t="s">
        <v>846</v>
      </c>
      <c r="J626">
        <v>771985</v>
      </c>
      <c r="K626" t="s">
        <v>30</v>
      </c>
      <c r="L626" s="1">
        <v>42394.042361111111</v>
      </c>
      <c r="M626" s="1">
        <v>42394</v>
      </c>
      <c r="N626" s="3">
        <f>INT(BrightTV_JoinedTablesnw_2026_04_16_23_55_09[[#This Row],[Viewership.RecordDate22]])</f>
        <v>42394</v>
      </c>
      <c r="O626" s="2">
        <v>4.2361111111111113E-2</v>
      </c>
      <c r="P626" t="s">
        <v>339</v>
      </c>
      <c r="Q626">
        <v>771985</v>
      </c>
      <c r="R626" t="s">
        <v>20</v>
      </c>
    </row>
    <row r="627" spans="1:18" x14ac:dyDescent="0.25">
      <c r="A627">
        <v>771985</v>
      </c>
      <c r="B627" t="s">
        <v>702</v>
      </c>
      <c r="C627" t="s">
        <v>659</v>
      </c>
      <c r="D627" t="s">
        <v>845</v>
      </c>
      <c r="E627" t="s">
        <v>24</v>
      </c>
      <c r="F627" t="s">
        <v>39</v>
      </c>
      <c r="G627">
        <v>23</v>
      </c>
      <c r="H627" t="s">
        <v>40</v>
      </c>
      <c r="I627" t="s">
        <v>846</v>
      </c>
      <c r="J627">
        <v>771985</v>
      </c>
      <c r="K627" t="s">
        <v>129</v>
      </c>
      <c r="L627" s="1">
        <v>42391.76666666667</v>
      </c>
      <c r="M627" s="1">
        <v>42391</v>
      </c>
      <c r="N627" s="3">
        <f>INT(BrightTV_JoinedTablesnw_2026_04_16_23_55_09[[#This Row],[Viewership.RecordDate22]])</f>
        <v>42391</v>
      </c>
      <c r="O627" s="2">
        <v>0.76666666666666672</v>
      </c>
      <c r="P627" t="s">
        <v>848</v>
      </c>
      <c r="Q627">
        <v>771985</v>
      </c>
      <c r="R627" t="s">
        <v>20</v>
      </c>
    </row>
    <row r="628" spans="1:18" x14ac:dyDescent="0.25">
      <c r="A628">
        <v>772000</v>
      </c>
      <c r="B628" t="s">
        <v>228</v>
      </c>
      <c r="C628" t="s">
        <v>104</v>
      </c>
      <c r="D628" t="s">
        <v>796</v>
      </c>
      <c r="E628" t="s">
        <v>38</v>
      </c>
      <c r="F628" t="s">
        <v>39</v>
      </c>
      <c r="G628">
        <v>39</v>
      </c>
      <c r="H628" t="s">
        <v>75</v>
      </c>
      <c r="I628" t="s">
        <v>230</v>
      </c>
      <c r="J628">
        <v>772000</v>
      </c>
      <c r="K628" t="s">
        <v>47</v>
      </c>
      <c r="L628" s="1">
        <v>42393.875</v>
      </c>
      <c r="M628" s="1">
        <v>42393</v>
      </c>
      <c r="N628" s="3">
        <f>INT(BrightTV_JoinedTablesnw_2026_04_16_23_55_09[[#This Row],[Viewership.RecordDate22]])</f>
        <v>42393</v>
      </c>
      <c r="O628" s="2">
        <v>0.875</v>
      </c>
      <c r="P628" t="s">
        <v>396</v>
      </c>
      <c r="Q628">
        <v>772000</v>
      </c>
      <c r="R628" t="s">
        <v>20</v>
      </c>
    </row>
    <row r="629" spans="1:18" x14ac:dyDescent="0.25">
      <c r="A629">
        <v>772028</v>
      </c>
      <c r="B629" t="s">
        <v>147</v>
      </c>
      <c r="C629" t="s">
        <v>560</v>
      </c>
      <c r="D629" t="s">
        <v>462</v>
      </c>
      <c r="E629" t="s">
        <v>38</v>
      </c>
      <c r="F629" t="s">
        <v>39</v>
      </c>
      <c r="G629">
        <v>30</v>
      </c>
      <c r="H629" t="s">
        <v>280</v>
      </c>
      <c r="I629" t="s">
        <v>150</v>
      </c>
      <c r="J629">
        <v>772028</v>
      </c>
      <c r="K629" t="s">
        <v>32</v>
      </c>
      <c r="L629" s="1">
        <v>42405.898611111108</v>
      </c>
      <c r="M629" s="1">
        <v>42405</v>
      </c>
      <c r="N629" s="3">
        <f>INT(BrightTV_JoinedTablesnw_2026_04_16_23_55_09[[#This Row],[Viewership.RecordDate22]])</f>
        <v>42405</v>
      </c>
      <c r="O629" s="2">
        <v>0.89861111111111114</v>
      </c>
      <c r="P629" t="s">
        <v>849</v>
      </c>
      <c r="Q629">
        <v>772028</v>
      </c>
      <c r="R629" t="s">
        <v>20</v>
      </c>
    </row>
    <row r="630" spans="1:18" x14ac:dyDescent="0.25">
      <c r="A630">
        <v>772028</v>
      </c>
      <c r="B630" t="s">
        <v>147</v>
      </c>
      <c r="C630" t="s">
        <v>560</v>
      </c>
      <c r="D630" t="s">
        <v>462</v>
      </c>
      <c r="E630" t="s">
        <v>38</v>
      </c>
      <c r="F630" t="s">
        <v>39</v>
      </c>
      <c r="G630">
        <v>30</v>
      </c>
      <c r="H630" t="s">
        <v>280</v>
      </c>
      <c r="I630" t="s">
        <v>150</v>
      </c>
      <c r="J630">
        <v>772028</v>
      </c>
      <c r="K630" t="s">
        <v>77</v>
      </c>
      <c r="L630" s="1">
        <v>42407.961111111108</v>
      </c>
      <c r="M630" s="1">
        <v>42407</v>
      </c>
      <c r="N630" s="3">
        <f>INT(BrightTV_JoinedTablesnw_2026_04_16_23_55_09[[#This Row],[Viewership.RecordDate22]])</f>
        <v>42407</v>
      </c>
      <c r="O630" s="2">
        <v>0.96111111111111114</v>
      </c>
      <c r="P630" t="s">
        <v>533</v>
      </c>
      <c r="Q630">
        <v>772028</v>
      </c>
      <c r="R630" t="s">
        <v>20</v>
      </c>
    </row>
    <row r="631" spans="1:18" x14ac:dyDescent="0.25">
      <c r="A631">
        <v>772028</v>
      </c>
      <c r="B631" t="s">
        <v>147</v>
      </c>
      <c r="C631" t="s">
        <v>560</v>
      </c>
      <c r="D631" t="s">
        <v>462</v>
      </c>
      <c r="E631" t="s">
        <v>38</v>
      </c>
      <c r="F631" t="s">
        <v>39</v>
      </c>
      <c r="G631">
        <v>30</v>
      </c>
      <c r="H631" t="s">
        <v>280</v>
      </c>
      <c r="I631" t="s">
        <v>150</v>
      </c>
      <c r="J631">
        <v>772028</v>
      </c>
      <c r="K631" t="s">
        <v>30</v>
      </c>
      <c r="L631" s="1">
        <v>42399.941666666666</v>
      </c>
      <c r="M631" s="1">
        <v>42399</v>
      </c>
      <c r="N631" s="3">
        <f>INT(BrightTV_JoinedTablesnw_2026_04_16_23_55_09[[#This Row],[Viewership.RecordDate22]])</f>
        <v>42399</v>
      </c>
      <c r="O631" s="2">
        <v>0.94166666666666665</v>
      </c>
      <c r="P631" t="s">
        <v>222</v>
      </c>
      <c r="Q631">
        <v>772028</v>
      </c>
      <c r="R631" t="s">
        <v>20</v>
      </c>
    </row>
    <row r="632" spans="1:18" x14ac:dyDescent="0.25">
      <c r="A632">
        <v>772030</v>
      </c>
      <c r="B632" t="s">
        <v>426</v>
      </c>
      <c r="C632" t="s">
        <v>379</v>
      </c>
      <c r="D632" t="s">
        <v>850</v>
      </c>
      <c r="E632" t="s">
        <v>38</v>
      </c>
      <c r="F632" t="s">
        <v>96</v>
      </c>
      <c r="G632">
        <v>34</v>
      </c>
      <c r="H632" t="s">
        <v>60</v>
      </c>
      <c r="I632" t="s">
        <v>428</v>
      </c>
      <c r="J632">
        <v>772030</v>
      </c>
      <c r="K632" t="s">
        <v>47</v>
      </c>
      <c r="L632" s="1">
        <v>42402.904861111114</v>
      </c>
      <c r="M632" s="1">
        <v>42402</v>
      </c>
      <c r="N632" s="3">
        <f>INT(BrightTV_JoinedTablesnw_2026_04_16_23_55_09[[#This Row],[Viewership.RecordDate22]])</f>
        <v>42402</v>
      </c>
      <c r="O632" s="2">
        <v>0.90486111111111112</v>
      </c>
      <c r="P632" t="s">
        <v>91</v>
      </c>
      <c r="Q632">
        <v>772030</v>
      </c>
      <c r="R632" t="s">
        <v>20</v>
      </c>
    </row>
    <row r="633" spans="1:18" x14ac:dyDescent="0.25">
      <c r="A633">
        <v>772030</v>
      </c>
      <c r="B633" t="s">
        <v>426</v>
      </c>
      <c r="C633" t="s">
        <v>379</v>
      </c>
      <c r="D633" t="s">
        <v>850</v>
      </c>
      <c r="E633" t="s">
        <v>38</v>
      </c>
      <c r="F633" t="s">
        <v>96</v>
      </c>
      <c r="G633">
        <v>34</v>
      </c>
      <c r="H633" t="s">
        <v>60</v>
      </c>
      <c r="I633" t="s">
        <v>428</v>
      </c>
      <c r="J633">
        <v>772030</v>
      </c>
      <c r="K633" t="s">
        <v>496</v>
      </c>
      <c r="L633" s="1">
        <v>42434.984027777777</v>
      </c>
      <c r="M633" s="1">
        <v>42434</v>
      </c>
      <c r="N633" s="3">
        <f>INT(BrightTV_JoinedTablesnw_2026_04_16_23_55_09[[#This Row],[Viewership.RecordDate22]])</f>
        <v>42434</v>
      </c>
      <c r="O633" s="2">
        <v>0.98402777777777772</v>
      </c>
      <c r="P633" t="s">
        <v>200</v>
      </c>
      <c r="Q633">
        <v>772030</v>
      </c>
      <c r="R633" t="s">
        <v>20</v>
      </c>
    </row>
    <row r="634" spans="1:18" x14ac:dyDescent="0.25">
      <c r="A634">
        <v>772034</v>
      </c>
      <c r="B634" t="s">
        <v>93</v>
      </c>
      <c r="C634" t="s">
        <v>22</v>
      </c>
      <c r="D634" t="s">
        <v>851</v>
      </c>
      <c r="E634" t="s">
        <v>38</v>
      </c>
      <c r="F634" t="s">
        <v>106</v>
      </c>
      <c r="G634">
        <v>38</v>
      </c>
      <c r="H634" t="s">
        <v>52</v>
      </c>
      <c r="I634" t="s">
        <v>97</v>
      </c>
      <c r="J634">
        <v>772034</v>
      </c>
      <c r="K634" t="s">
        <v>32</v>
      </c>
      <c r="L634" s="1">
        <v>42401.568749999999</v>
      </c>
      <c r="M634" s="1">
        <v>42401</v>
      </c>
      <c r="N634" s="3">
        <f>INT(BrightTV_JoinedTablesnw_2026_04_16_23_55_09[[#This Row],[Viewership.RecordDate22]])</f>
        <v>42401</v>
      </c>
      <c r="O634" s="2">
        <v>0.56874999999999998</v>
      </c>
      <c r="P634" t="s">
        <v>121</v>
      </c>
      <c r="Q634">
        <v>772034</v>
      </c>
      <c r="R634" t="s">
        <v>20</v>
      </c>
    </row>
    <row r="635" spans="1:18" x14ac:dyDescent="0.25">
      <c r="A635">
        <v>809085</v>
      </c>
      <c r="B635" t="s">
        <v>576</v>
      </c>
      <c r="C635" t="s">
        <v>271</v>
      </c>
      <c r="D635" t="s">
        <v>852</v>
      </c>
      <c r="E635" t="s">
        <v>38</v>
      </c>
      <c r="F635" t="s">
        <v>39</v>
      </c>
      <c r="G635">
        <v>28</v>
      </c>
      <c r="H635" t="s">
        <v>40</v>
      </c>
      <c r="I635" t="s">
        <v>578</v>
      </c>
      <c r="J635">
        <v>809085</v>
      </c>
      <c r="K635" t="s">
        <v>32</v>
      </c>
      <c r="L635" s="1">
        <v>42421.395833333336</v>
      </c>
      <c r="M635" s="1">
        <v>42421</v>
      </c>
      <c r="N635" s="3">
        <f>INT(BrightTV_JoinedTablesnw_2026_04_16_23_55_09[[#This Row],[Viewership.RecordDate22]])</f>
        <v>42421</v>
      </c>
      <c r="O635" s="2">
        <v>0.39583333333333331</v>
      </c>
      <c r="P635" t="s">
        <v>335</v>
      </c>
      <c r="Q635">
        <v>809085</v>
      </c>
      <c r="R635" t="s">
        <v>20</v>
      </c>
    </row>
    <row r="636" spans="1:18" x14ac:dyDescent="0.25">
      <c r="A636">
        <v>809085</v>
      </c>
      <c r="B636" t="s">
        <v>576</v>
      </c>
      <c r="C636" t="s">
        <v>271</v>
      </c>
      <c r="D636" t="s">
        <v>852</v>
      </c>
      <c r="E636" t="s">
        <v>38</v>
      </c>
      <c r="F636" t="s">
        <v>39</v>
      </c>
      <c r="G636">
        <v>28</v>
      </c>
      <c r="H636" t="s">
        <v>40</v>
      </c>
      <c r="I636" t="s">
        <v>578</v>
      </c>
      <c r="J636">
        <v>809085</v>
      </c>
      <c r="K636" t="s">
        <v>32</v>
      </c>
      <c r="L636" s="1">
        <v>42420.470833333333</v>
      </c>
      <c r="M636" s="1">
        <v>42420</v>
      </c>
      <c r="N636" s="3">
        <f>INT(BrightTV_JoinedTablesnw_2026_04_16_23_55_09[[#This Row],[Viewership.RecordDate22]])</f>
        <v>42420</v>
      </c>
      <c r="O636" s="2">
        <v>0.47083333333333333</v>
      </c>
      <c r="P636" t="s">
        <v>64</v>
      </c>
      <c r="Q636">
        <v>809085</v>
      </c>
      <c r="R636" t="s">
        <v>20</v>
      </c>
    </row>
    <row r="637" spans="1:18" x14ac:dyDescent="0.25">
      <c r="A637">
        <v>809085</v>
      </c>
      <c r="B637" t="s">
        <v>576</v>
      </c>
      <c r="C637" t="s">
        <v>271</v>
      </c>
      <c r="D637" t="s">
        <v>852</v>
      </c>
      <c r="E637" t="s">
        <v>38</v>
      </c>
      <c r="F637" t="s">
        <v>39</v>
      </c>
      <c r="G637">
        <v>28</v>
      </c>
      <c r="H637" t="s">
        <v>40</v>
      </c>
      <c r="I637" t="s">
        <v>578</v>
      </c>
      <c r="J637">
        <v>809085</v>
      </c>
      <c r="K637" t="s">
        <v>47</v>
      </c>
      <c r="L637" s="1">
        <v>42442.677083333336</v>
      </c>
      <c r="M637" s="1">
        <v>42442</v>
      </c>
      <c r="N637" s="3">
        <f>INT(BrightTV_JoinedTablesnw_2026_04_16_23_55_09[[#This Row],[Viewership.RecordDate22]])</f>
        <v>42442</v>
      </c>
      <c r="O637" s="2">
        <v>0.67708333333333337</v>
      </c>
      <c r="P637" t="s">
        <v>853</v>
      </c>
      <c r="Q637">
        <v>809085</v>
      </c>
      <c r="R637" t="s">
        <v>20</v>
      </c>
    </row>
    <row r="638" spans="1:18" x14ac:dyDescent="0.25">
      <c r="A638">
        <v>809085</v>
      </c>
      <c r="B638" t="s">
        <v>576</v>
      </c>
      <c r="C638" t="s">
        <v>271</v>
      </c>
      <c r="D638" t="s">
        <v>852</v>
      </c>
      <c r="E638" t="s">
        <v>38</v>
      </c>
      <c r="F638" t="s">
        <v>39</v>
      </c>
      <c r="G638">
        <v>28</v>
      </c>
      <c r="H638" t="s">
        <v>40</v>
      </c>
      <c r="I638" t="s">
        <v>578</v>
      </c>
      <c r="J638">
        <v>809085</v>
      </c>
      <c r="K638" t="s">
        <v>54</v>
      </c>
      <c r="L638" s="1">
        <v>42402.882638888892</v>
      </c>
      <c r="M638" s="1">
        <v>42402</v>
      </c>
      <c r="N638" s="3">
        <f>INT(BrightTV_JoinedTablesnw_2026_04_16_23_55_09[[#This Row],[Viewership.RecordDate22]])</f>
        <v>42402</v>
      </c>
      <c r="O638" s="2">
        <v>0.88263888888888886</v>
      </c>
      <c r="P638" t="s">
        <v>335</v>
      </c>
      <c r="Q638">
        <v>809085</v>
      </c>
      <c r="R638" t="s">
        <v>20</v>
      </c>
    </row>
    <row r="639" spans="1:18" x14ac:dyDescent="0.25">
      <c r="A639">
        <v>809085</v>
      </c>
      <c r="B639" t="s">
        <v>576</v>
      </c>
      <c r="C639" t="s">
        <v>271</v>
      </c>
      <c r="D639" t="s">
        <v>852</v>
      </c>
      <c r="E639" t="s">
        <v>38</v>
      </c>
      <c r="F639" t="s">
        <v>39</v>
      </c>
      <c r="G639">
        <v>28</v>
      </c>
      <c r="H639" t="s">
        <v>40</v>
      </c>
      <c r="I639" t="s">
        <v>578</v>
      </c>
      <c r="J639">
        <v>809085</v>
      </c>
      <c r="K639" t="s">
        <v>32</v>
      </c>
      <c r="L639" s="1">
        <v>42440.306250000001</v>
      </c>
      <c r="M639" s="1">
        <v>42440</v>
      </c>
      <c r="N639" s="3">
        <f>INT(BrightTV_JoinedTablesnw_2026_04_16_23_55_09[[#This Row],[Viewership.RecordDate22]])</f>
        <v>42440</v>
      </c>
      <c r="O639" s="2">
        <v>0.30625000000000002</v>
      </c>
      <c r="P639" t="s">
        <v>71</v>
      </c>
      <c r="Q639">
        <v>809085</v>
      </c>
      <c r="R639" t="s">
        <v>20</v>
      </c>
    </row>
    <row r="640" spans="1:18" x14ac:dyDescent="0.25">
      <c r="A640">
        <v>809085</v>
      </c>
      <c r="B640" t="s">
        <v>576</v>
      </c>
      <c r="C640" t="s">
        <v>271</v>
      </c>
      <c r="D640" t="s">
        <v>852</v>
      </c>
      <c r="E640" t="s">
        <v>38</v>
      </c>
      <c r="F640" t="s">
        <v>39</v>
      </c>
      <c r="G640">
        <v>28</v>
      </c>
      <c r="H640" t="s">
        <v>40</v>
      </c>
      <c r="I640" t="s">
        <v>578</v>
      </c>
      <c r="J640">
        <v>809085</v>
      </c>
      <c r="K640" t="s">
        <v>77</v>
      </c>
      <c r="L640" s="1">
        <v>42390.011111111111</v>
      </c>
      <c r="M640" s="1">
        <v>42390</v>
      </c>
      <c r="N640" s="3">
        <f>INT(BrightTV_JoinedTablesnw_2026_04_16_23_55_09[[#This Row],[Viewership.RecordDate22]])</f>
        <v>42390</v>
      </c>
      <c r="O640" s="2">
        <v>1.1111111111111112E-2</v>
      </c>
      <c r="P640" t="s">
        <v>854</v>
      </c>
      <c r="Q640">
        <v>809085</v>
      </c>
      <c r="R640" t="s">
        <v>20</v>
      </c>
    </row>
    <row r="641" spans="1:18" x14ac:dyDescent="0.25">
      <c r="A641">
        <v>809085</v>
      </c>
      <c r="B641" t="s">
        <v>576</v>
      </c>
      <c r="C641" t="s">
        <v>271</v>
      </c>
      <c r="D641" t="s">
        <v>852</v>
      </c>
      <c r="E641" t="s">
        <v>38</v>
      </c>
      <c r="F641" t="s">
        <v>39</v>
      </c>
      <c r="G641">
        <v>28</v>
      </c>
      <c r="H641" t="s">
        <v>40</v>
      </c>
      <c r="I641" t="s">
        <v>578</v>
      </c>
      <c r="J641">
        <v>809085</v>
      </c>
      <c r="K641" t="s">
        <v>32</v>
      </c>
      <c r="L641" s="1">
        <v>42380.382638888892</v>
      </c>
      <c r="M641" s="1">
        <v>42380</v>
      </c>
      <c r="N641" s="3">
        <f>INT(BrightTV_JoinedTablesnw_2026_04_16_23_55_09[[#This Row],[Viewership.RecordDate22]])</f>
        <v>42380</v>
      </c>
      <c r="O641" s="2">
        <v>0.38263888888888886</v>
      </c>
      <c r="P641" t="s">
        <v>335</v>
      </c>
      <c r="Q641">
        <v>809085</v>
      </c>
      <c r="R641" t="s">
        <v>20</v>
      </c>
    </row>
    <row r="642" spans="1:18" x14ac:dyDescent="0.25">
      <c r="A642">
        <v>809085</v>
      </c>
      <c r="B642" t="s">
        <v>576</v>
      </c>
      <c r="C642" t="s">
        <v>271</v>
      </c>
      <c r="D642" t="s">
        <v>852</v>
      </c>
      <c r="E642" t="s">
        <v>38</v>
      </c>
      <c r="F642" t="s">
        <v>39</v>
      </c>
      <c r="G642">
        <v>28</v>
      </c>
      <c r="H642" t="s">
        <v>40</v>
      </c>
      <c r="I642" t="s">
        <v>578</v>
      </c>
      <c r="J642">
        <v>809085</v>
      </c>
      <c r="K642" t="s">
        <v>54</v>
      </c>
      <c r="L642" s="1">
        <v>42399.882638888892</v>
      </c>
      <c r="M642" s="1">
        <v>42399</v>
      </c>
      <c r="N642" s="3">
        <f>INT(BrightTV_JoinedTablesnw_2026_04_16_23_55_09[[#This Row],[Viewership.RecordDate22]])</f>
        <v>42399</v>
      </c>
      <c r="O642" s="2">
        <v>0.88263888888888886</v>
      </c>
      <c r="P642" t="s">
        <v>64</v>
      </c>
      <c r="Q642">
        <v>809085</v>
      </c>
      <c r="R642" t="s">
        <v>20</v>
      </c>
    </row>
    <row r="643" spans="1:18" x14ac:dyDescent="0.25">
      <c r="A643">
        <v>809085</v>
      </c>
      <c r="B643" t="s">
        <v>576</v>
      </c>
      <c r="C643" t="s">
        <v>271</v>
      </c>
      <c r="D643" t="s">
        <v>852</v>
      </c>
      <c r="E643" t="s">
        <v>38</v>
      </c>
      <c r="F643" t="s">
        <v>39</v>
      </c>
      <c r="G643">
        <v>28</v>
      </c>
      <c r="H643" t="s">
        <v>40</v>
      </c>
      <c r="I643" t="s">
        <v>578</v>
      </c>
      <c r="J643">
        <v>809085</v>
      </c>
      <c r="K643" t="s">
        <v>30</v>
      </c>
      <c r="L643" s="1">
        <v>42427.40902777778</v>
      </c>
      <c r="M643" s="1">
        <v>42427</v>
      </c>
      <c r="N643" s="3">
        <f>INT(BrightTV_JoinedTablesnw_2026_04_16_23_55_09[[#This Row],[Viewership.RecordDate22]])</f>
        <v>42427</v>
      </c>
      <c r="O643" s="2">
        <v>0.40902777777777777</v>
      </c>
      <c r="P643" t="s">
        <v>855</v>
      </c>
      <c r="Q643">
        <v>809085</v>
      </c>
      <c r="R643" t="s">
        <v>20</v>
      </c>
    </row>
    <row r="644" spans="1:18" x14ac:dyDescent="0.25">
      <c r="A644">
        <v>809085</v>
      </c>
      <c r="B644" t="s">
        <v>576</v>
      </c>
      <c r="C644" t="s">
        <v>271</v>
      </c>
      <c r="D644" t="s">
        <v>852</v>
      </c>
      <c r="E644" t="s">
        <v>38</v>
      </c>
      <c r="F644" t="s">
        <v>39</v>
      </c>
      <c r="G644">
        <v>28</v>
      </c>
      <c r="H644" t="s">
        <v>40</v>
      </c>
      <c r="I644" t="s">
        <v>578</v>
      </c>
      <c r="J644">
        <v>809085</v>
      </c>
      <c r="K644" t="s">
        <v>18</v>
      </c>
      <c r="L644" s="1">
        <v>42444.737500000003</v>
      </c>
      <c r="M644" s="1">
        <v>42444</v>
      </c>
      <c r="N644" s="3">
        <f>INT(BrightTV_JoinedTablesnw_2026_04_16_23_55_09[[#This Row],[Viewership.RecordDate22]])</f>
        <v>42444</v>
      </c>
      <c r="O644" s="2">
        <v>0.73750000000000004</v>
      </c>
      <c r="P644" t="s">
        <v>856</v>
      </c>
      <c r="Q644">
        <v>809085</v>
      </c>
      <c r="R644" t="s">
        <v>20</v>
      </c>
    </row>
    <row r="645" spans="1:18" x14ac:dyDescent="0.25">
      <c r="A645">
        <v>809085</v>
      </c>
      <c r="B645" t="s">
        <v>576</v>
      </c>
      <c r="C645" t="s">
        <v>271</v>
      </c>
      <c r="D645" t="s">
        <v>852</v>
      </c>
      <c r="E645" t="s">
        <v>38</v>
      </c>
      <c r="F645" t="s">
        <v>39</v>
      </c>
      <c r="G645">
        <v>28</v>
      </c>
      <c r="H645" t="s">
        <v>40</v>
      </c>
      <c r="I645" t="s">
        <v>578</v>
      </c>
      <c r="J645">
        <v>809085</v>
      </c>
      <c r="K645" t="s">
        <v>169</v>
      </c>
      <c r="L645" s="1">
        <v>42430.908333333333</v>
      </c>
      <c r="M645" s="1">
        <v>42430</v>
      </c>
      <c r="N645" s="3">
        <f>INT(BrightTV_JoinedTablesnw_2026_04_16_23_55_09[[#This Row],[Viewership.RecordDate22]])</f>
        <v>42430</v>
      </c>
      <c r="O645" s="2">
        <v>0.90833333333333333</v>
      </c>
      <c r="P645" t="s">
        <v>857</v>
      </c>
      <c r="Q645">
        <v>809085</v>
      </c>
      <c r="R645" t="s">
        <v>20</v>
      </c>
    </row>
    <row r="646" spans="1:18" x14ac:dyDescent="0.25">
      <c r="A646">
        <v>772042</v>
      </c>
      <c r="B646" t="s">
        <v>517</v>
      </c>
      <c r="C646" t="s">
        <v>305</v>
      </c>
      <c r="D646" t="s">
        <v>858</v>
      </c>
      <c r="E646" t="s">
        <v>24</v>
      </c>
      <c r="F646" t="s">
        <v>25</v>
      </c>
      <c r="G646">
        <v>31</v>
      </c>
      <c r="H646" t="s">
        <v>252</v>
      </c>
      <c r="I646" t="s">
        <v>859</v>
      </c>
      <c r="J646">
        <v>772042</v>
      </c>
      <c r="K646" t="s">
        <v>62</v>
      </c>
      <c r="L646" s="1">
        <v>42405.506944444445</v>
      </c>
      <c r="M646" s="1">
        <v>42405</v>
      </c>
      <c r="N646" s="3">
        <f>INT(BrightTV_JoinedTablesnw_2026_04_16_23_55_09[[#This Row],[Viewership.RecordDate22]])</f>
        <v>42405</v>
      </c>
      <c r="O646" s="2">
        <v>0.50694444444444442</v>
      </c>
      <c r="P646" t="s">
        <v>64</v>
      </c>
      <c r="Q646">
        <v>772042</v>
      </c>
      <c r="R646" t="s">
        <v>20</v>
      </c>
    </row>
    <row r="647" spans="1:18" x14ac:dyDescent="0.25">
      <c r="A647">
        <v>772042</v>
      </c>
      <c r="B647" t="s">
        <v>517</v>
      </c>
      <c r="C647" t="s">
        <v>305</v>
      </c>
      <c r="D647" t="s">
        <v>858</v>
      </c>
      <c r="E647" t="s">
        <v>24</v>
      </c>
      <c r="F647" t="s">
        <v>25</v>
      </c>
      <c r="G647">
        <v>31</v>
      </c>
      <c r="H647" t="s">
        <v>252</v>
      </c>
      <c r="I647" t="s">
        <v>859</v>
      </c>
      <c r="J647">
        <v>772042</v>
      </c>
      <c r="K647" t="s">
        <v>62</v>
      </c>
      <c r="L647" s="1">
        <v>42405.498611111114</v>
      </c>
      <c r="M647" s="1">
        <v>42405</v>
      </c>
      <c r="N647" s="3">
        <f>INT(BrightTV_JoinedTablesnw_2026_04_16_23_55_09[[#This Row],[Viewership.RecordDate22]])</f>
        <v>42405</v>
      </c>
      <c r="O647" s="2">
        <v>0.49861111111111112</v>
      </c>
      <c r="P647" t="s">
        <v>733</v>
      </c>
      <c r="Q647">
        <v>772042</v>
      </c>
      <c r="R647" t="s">
        <v>20</v>
      </c>
    </row>
    <row r="648" spans="1:18" x14ac:dyDescent="0.25">
      <c r="A648">
        <v>772052</v>
      </c>
      <c r="B648" t="s">
        <v>402</v>
      </c>
      <c r="C648" t="s">
        <v>193</v>
      </c>
      <c r="D648" t="s">
        <v>433</v>
      </c>
      <c r="E648" t="s">
        <v>38</v>
      </c>
      <c r="F648" t="s">
        <v>96</v>
      </c>
      <c r="G648">
        <v>32</v>
      </c>
      <c r="H648" t="s">
        <v>60</v>
      </c>
      <c r="I648" t="s">
        <v>404</v>
      </c>
      <c r="J648">
        <v>772052</v>
      </c>
      <c r="K648" t="s">
        <v>47</v>
      </c>
      <c r="L648" s="1">
        <v>42449.768055555556</v>
      </c>
      <c r="M648" s="1">
        <v>42449</v>
      </c>
      <c r="N648" s="3">
        <f>INT(BrightTV_JoinedTablesnw_2026_04_16_23_55_09[[#This Row],[Viewership.RecordDate22]])</f>
        <v>42449</v>
      </c>
      <c r="O648" s="2">
        <v>0.7680555555555556</v>
      </c>
      <c r="P648" t="s">
        <v>64</v>
      </c>
      <c r="Q648">
        <v>772052</v>
      </c>
      <c r="R648" t="s">
        <v>20</v>
      </c>
    </row>
    <row r="649" spans="1:18" x14ac:dyDescent="0.25">
      <c r="A649">
        <v>772052</v>
      </c>
      <c r="B649" t="s">
        <v>402</v>
      </c>
      <c r="C649" t="s">
        <v>193</v>
      </c>
      <c r="D649" t="s">
        <v>433</v>
      </c>
      <c r="E649" t="s">
        <v>38</v>
      </c>
      <c r="F649" t="s">
        <v>96</v>
      </c>
      <c r="G649">
        <v>32</v>
      </c>
      <c r="H649" t="s">
        <v>60</v>
      </c>
      <c r="I649" t="s">
        <v>404</v>
      </c>
      <c r="J649">
        <v>772052</v>
      </c>
      <c r="K649" t="s">
        <v>47</v>
      </c>
      <c r="L649" s="1">
        <v>42455.693055555559</v>
      </c>
      <c r="M649" s="1">
        <v>42455</v>
      </c>
      <c r="N649" s="3">
        <f>INT(BrightTV_JoinedTablesnw_2026_04_16_23_55_09[[#This Row],[Viewership.RecordDate22]])</f>
        <v>42455</v>
      </c>
      <c r="O649" s="2">
        <v>0.69305555555555554</v>
      </c>
      <c r="P649" t="s">
        <v>860</v>
      </c>
      <c r="Q649">
        <v>772052</v>
      </c>
      <c r="R649" t="s">
        <v>20</v>
      </c>
    </row>
    <row r="650" spans="1:18" x14ac:dyDescent="0.25">
      <c r="A650">
        <v>772054</v>
      </c>
      <c r="B650" t="s">
        <v>676</v>
      </c>
      <c r="C650" t="s">
        <v>407</v>
      </c>
      <c r="D650" t="s">
        <v>861</v>
      </c>
      <c r="E650" t="s">
        <v>38</v>
      </c>
      <c r="F650" t="s">
        <v>25</v>
      </c>
      <c r="G650">
        <v>27</v>
      </c>
      <c r="H650" t="s">
        <v>60</v>
      </c>
      <c r="I650" t="s">
        <v>678</v>
      </c>
      <c r="J650">
        <v>772054</v>
      </c>
      <c r="K650" t="s">
        <v>54</v>
      </c>
      <c r="L650" s="1">
        <v>42434.496527777781</v>
      </c>
      <c r="M650" s="1">
        <v>42434</v>
      </c>
      <c r="N650" s="3">
        <f>INT(BrightTV_JoinedTablesnw_2026_04_16_23_55_09[[#This Row],[Viewership.RecordDate22]])</f>
        <v>42434</v>
      </c>
      <c r="O650" s="2">
        <v>0.49652777777777779</v>
      </c>
      <c r="P650" t="s">
        <v>750</v>
      </c>
      <c r="Q650">
        <v>772054</v>
      </c>
      <c r="R650" t="s">
        <v>20</v>
      </c>
    </row>
    <row r="651" spans="1:18" x14ac:dyDescent="0.25">
      <c r="A651">
        <v>772054</v>
      </c>
      <c r="B651" t="s">
        <v>676</v>
      </c>
      <c r="C651" t="s">
        <v>407</v>
      </c>
      <c r="D651" t="s">
        <v>861</v>
      </c>
      <c r="E651" t="s">
        <v>38</v>
      </c>
      <c r="F651" t="s">
        <v>25</v>
      </c>
      <c r="G651">
        <v>27</v>
      </c>
      <c r="H651" t="s">
        <v>60</v>
      </c>
      <c r="I651" t="s">
        <v>678</v>
      </c>
      <c r="J651">
        <v>772054</v>
      </c>
      <c r="K651" t="s">
        <v>18</v>
      </c>
      <c r="L651" s="1">
        <v>42441.82916666667</v>
      </c>
      <c r="M651" s="1">
        <v>42441</v>
      </c>
      <c r="N651" s="3">
        <f>INT(BrightTV_JoinedTablesnw_2026_04_16_23_55_09[[#This Row],[Viewership.RecordDate22]])</f>
        <v>42441</v>
      </c>
      <c r="O651" s="2">
        <v>0.82916666666666672</v>
      </c>
      <c r="P651" t="s">
        <v>862</v>
      </c>
      <c r="Q651">
        <v>772054</v>
      </c>
      <c r="R651" t="s">
        <v>20</v>
      </c>
    </row>
    <row r="652" spans="1:18" x14ac:dyDescent="0.25">
      <c r="A652">
        <v>772054</v>
      </c>
      <c r="B652" t="s">
        <v>676</v>
      </c>
      <c r="C652" t="s">
        <v>407</v>
      </c>
      <c r="D652" t="s">
        <v>861</v>
      </c>
      <c r="E652" t="s">
        <v>38</v>
      </c>
      <c r="F652" t="s">
        <v>25</v>
      </c>
      <c r="G652">
        <v>27</v>
      </c>
      <c r="H652" t="s">
        <v>60</v>
      </c>
      <c r="I652" t="s">
        <v>678</v>
      </c>
      <c r="J652">
        <v>772054</v>
      </c>
      <c r="K652" t="s">
        <v>47</v>
      </c>
      <c r="L652" s="1">
        <v>42453.781944444447</v>
      </c>
      <c r="M652" s="1">
        <v>42453</v>
      </c>
      <c r="N652" s="3">
        <f>INT(BrightTV_JoinedTablesnw_2026_04_16_23_55_09[[#This Row],[Viewership.RecordDate22]])</f>
        <v>42453</v>
      </c>
      <c r="O652" s="2">
        <v>0.78194444444444444</v>
      </c>
      <c r="P652" t="s">
        <v>363</v>
      </c>
      <c r="Q652">
        <v>772054</v>
      </c>
      <c r="R652" t="s">
        <v>20</v>
      </c>
    </row>
    <row r="653" spans="1:18" x14ac:dyDescent="0.25">
      <c r="A653">
        <v>772068</v>
      </c>
      <c r="B653" t="s">
        <v>426</v>
      </c>
      <c r="C653" t="s">
        <v>775</v>
      </c>
      <c r="D653" t="s">
        <v>788</v>
      </c>
      <c r="E653" t="s">
        <v>38</v>
      </c>
      <c r="F653" t="s">
        <v>39</v>
      </c>
      <c r="G653">
        <v>26</v>
      </c>
      <c r="H653" t="s">
        <v>52</v>
      </c>
      <c r="I653" t="s">
        <v>428</v>
      </c>
      <c r="J653">
        <v>772068</v>
      </c>
      <c r="K653" t="s">
        <v>32</v>
      </c>
      <c r="L653" s="1">
        <v>42377.115277777775</v>
      </c>
      <c r="M653" s="1">
        <v>42377</v>
      </c>
      <c r="N653" s="3">
        <f>INT(BrightTV_JoinedTablesnw_2026_04_16_23_55_09[[#This Row],[Viewership.RecordDate22]])</f>
        <v>42377</v>
      </c>
      <c r="O653" s="2">
        <v>0.11527777777777778</v>
      </c>
      <c r="P653" t="s">
        <v>863</v>
      </c>
      <c r="Q653">
        <v>772068</v>
      </c>
      <c r="R653" t="s">
        <v>20</v>
      </c>
    </row>
    <row r="654" spans="1:18" x14ac:dyDescent="0.25">
      <c r="A654">
        <v>772068</v>
      </c>
      <c r="B654" t="s">
        <v>426</v>
      </c>
      <c r="C654" t="s">
        <v>775</v>
      </c>
      <c r="D654" t="s">
        <v>788</v>
      </c>
      <c r="E654" t="s">
        <v>38</v>
      </c>
      <c r="F654" t="s">
        <v>39</v>
      </c>
      <c r="G654">
        <v>26</v>
      </c>
      <c r="H654" t="s">
        <v>52</v>
      </c>
      <c r="I654" t="s">
        <v>428</v>
      </c>
      <c r="J654">
        <v>772068</v>
      </c>
      <c r="K654" t="s">
        <v>47</v>
      </c>
      <c r="L654" s="1">
        <v>42394.981944444444</v>
      </c>
      <c r="M654" s="1">
        <v>42394</v>
      </c>
      <c r="N654" s="3">
        <f>INT(BrightTV_JoinedTablesnw_2026_04_16_23_55_09[[#This Row],[Viewership.RecordDate22]])</f>
        <v>42394</v>
      </c>
      <c r="O654" s="2">
        <v>0.9819444444444444</v>
      </c>
      <c r="P654" t="s">
        <v>864</v>
      </c>
      <c r="Q654">
        <v>772068</v>
      </c>
      <c r="R654" t="s">
        <v>20</v>
      </c>
    </row>
    <row r="655" spans="1:18" x14ac:dyDescent="0.25">
      <c r="A655">
        <v>772068</v>
      </c>
      <c r="B655" t="s">
        <v>426</v>
      </c>
      <c r="C655" t="s">
        <v>775</v>
      </c>
      <c r="D655" t="s">
        <v>788</v>
      </c>
      <c r="E655" t="s">
        <v>38</v>
      </c>
      <c r="F655" t="s">
        <v>39</v>
      </c>
      <c r="G655">
        <v>26</v>
      </c>
      <c r="H655" t="s">
        <v>52</v>
      </c>
      <c r="I655" t="s">
        <v>428</v>
      </c>
      <c r="J655">
        <v>772068</v>
      </c>
      <c r="K655" t="s">
        <v>69</v>
      </c>
      <c r="L655" s="1">
        <v>42430.905555555553</v>
      </c>
      <c r="M655" s="1">
        <v>42430</v>
      </c>
      <c r="N655" s="3">
        <f>INT(BrightTV_JoinedTablesnw_2026_04_16_23_55_09[[#This Row],[Viewership.RecordDate22]])</f>
        <v>42430</v>
      </c>
      <c r="O655" s="2">
        <v>0.90555555555555556</v>
      </c>
      <c r="P655" t="s">
        <v>321</v>
      </c>
      <c r="Q655">
        <v>772068</v>
      </c>
      <c r="R655" t="s">
        <v>20</v>
      </c>
    </row>
    <row r="656" spans="1:18" x14ac:dyDescent="0.25">
      <c r="A656">
        <v>772088</v>
      </c>
      <c r="B656" t="s">
        <v>43</v>
      </c>
      <c r="C656" t="s">
        <v>166</v>
      </c>
      <c r="D656" t="s">
        <v>393</v>
      </c>
      <c r="E656" t="s">
        <v>38</v>
      </c>
      <c r="F656" t="s">
        <v>39</v>
      </c>
      <c r="G656">
        <v>35</v>
      </c>
      <c r="H656" t="s">
        <v>40</v>
      </c>
      <c r="I656" t="s">
        <v>46</v>
      </c>
      <c r="J656">
        <v>772088</v>
      </c>
      <c r="K656" t="s">
        <v>169</v>
      </c>
      <c r="L656" s="1">
        <v>42404.850694444445</v>
      </c>
      <c r="M656" s="1">
        <v>42404</v>
      </c>
      <c r="N656" s="3">
        <f>INT(BrightTV_JoinedTablesnw_2026_04_16_23_55_09[[#This Row],[Viewership.RecordDate22]])</f>
        <v>42404</v>
      </c>
      <c r="O656" s="2">
        <v>0.85069444444444442</v>
      </c>
      <c r="P656" t="s">
        <v>64</v>
      </c>
      <c r="Q656">
        <v>772088</v>
      </c>
      <c r="R656" t="s">
        <v>20</v>
      </c>
    </row>
    <row r="657" spans="1:18" x14ac:dyDescent="0.25">
      <c r="A657">
        <v>772088</v>
      </c>
      <c r="B657" t="s">
        <v>43</v>
      </c>
      <c r="C657" t="s">
        <v>166</v>
      </c>
      <c r="D657" t="s">
        <v>393</v>
      </c>
      <c r="E657" t="s">
        <v>38</v>
      </c>
      <c r="F657" t="s">
        <v>39</v>
      </c>
      <c r="G657">
        <v>35</v>
      </c>
      <c r="H657" t="s">
        <v>40</v>
      </c>
      <c r="I657" t="s">
        <v>46</v>
      </c>
      <c r="J657">
        <v>772088</v>
      </c>
      <c r="K657" t="s">
        <v>169</v>
      </c>
      <c r="L657" s="1">
        <v>42404.84097222222</v>
      </c>
      <c r="M657" s="1">
        <v>42404</v>
      </c>
      <c r="N657" s="3">
        <f>INT(BrightTV_JoinedTablesnw_2026_04_16_23_55_09[[#This Row],[Viewership.RecordDate22]])</f>
        <v>42404</v>
      </c>
      <c r="O657" s="2">
        <v>0.84097222222222223</v>
      </c>
      <c r="P657" t="s">
        <v>865</v>
      </c>
      <c r="Q657">
        <v>772088</v>
      </c>
      <c r="R657" t="s">
        <v>20</v>
      </c>
    </row>
    <row r="658" spans="1:18" x14ac:dyDescent="0.25">
      <c r="A658">
        <v>772088</v>
      </c>
      <c r="B658" t="s">
        <v>43</v>
      </c>
      <c r="C658" t="s">
        <v>166</v>
      </c>
      <c r="D658" t="s">
        <v>393</v>
      </c>
      <c r="E658" t="s">
        <v>38</v>
      </c>
      <c r="F658" t="s">
        <v>39</v>
      </c>
      <c r="G658">
        <v>35</v>
      </c>
      <c r="H658" t="s">
        <v>40</v>
      </c>
      <c r="I658" t="s">
        <v>46</v>
      </c>
      <c r="J658">
        <v>772088</v>
      </c>
      <c r="K658" t="s">
        <v>129</v>
      </c>
      <c r="L658" s="1">
        <v>42392.974999999999</v>
      </c>
      <c r="M658" s="1">
        <v>42392</v>
      </c>
      <c r="N658" s="3">
        <f>INT(BrightTV_JoinedTablesnw_2026_04_16_23_55_09[[#This Row],[Viewership.RecordDate22]])</f>
        <v>42392</v>
      </c>
      <c r="O658" s="2">
        <v>0.97499999999999998</v>
      </c>
      <c r="P658" t="s">
        <v>866</v>
      </c>
      <c r="Q658">
        <v>772088</v>
      </c>
      <c r="R658" t="s">
        <v>20</v>
      </c>
    </row>
    <row r="659" spans="1:18" x14ac:dyDescent="0.25">
      <c r="A659">
        <v>772091</v>
      </c>
      <c r="B659" t="s">
        <v>437</v>
      </c>
      <c r="C659" t="s">
        <v>305</v>
      </c>
      <c r="D659" t="s">
        <v>867</v>
      </c>
      <c r="E659" t="s">
        <v>38</v>
      </c>
      <c r="F659" t="s">
        <v>96</v>
      </c>
      <c r="G659">
        <v>34</v>
      </c>
      <c r="H659" t="s">
        <v>40</v>
      </c>
      <c r="I659" t="s">
        <v>439</v>
      </c>
      <c r="J659">
        <v>772091</v>
      </c>
      <c r="K659" t="s">
        <v>54</v>
      </c>
      <c r="L659" s="1">
        <v>42399.318749999999</v>
      </c>
      <c r="M659" s="1">
        <v>42399</v>
      </c>
      <c r="N659" s="3">
        <f>INT(BrightTV_JoinedTablesnw_2026_04_16_23_55_09[[#This Row],[Viewership.RecordDate22]])</f>
        <v>42399</v>
      </c>
      <c r="O659" s="2">
        <v>0.31874999999999998</v>
      </c>
      <c r="P659" t="s">
        <v>144</v>
      </c>
      <c r="Q659">
        <v>772091</v>
      </c>
      <c r="R659" t="s">
        <v>20</v>
      </c>
    </row>
    <row r="660" spans="1:18" x14ac:dyDescent="0.25">
      <c r="A660">
        <v>772098</v>
      </c>
      <c r="B660" t="s">
        <v>35</v>
      </c>
      <c r="C660" t="s">
        <v>233</v>
      </c>
      <c r="D660" t="s">
        <v>795</v>
      </c>
      <c r="E660" t="s">
        <v>38</v>
      </c>
      <c r="F660" t="s">
        <v>25</v>
      </c>
      <c r="G660">
        <v>54</v>
      </c>
      <c r="H660" t="s">
        <v>60</v>
      </c>
      <c r="I660" t="s">
        <v>41</v>
      </c>
      <c r="J660">
        <v>772098</v>
      </c>
      <c r="K660" t="s">
        <v>47</v>
      </c>
      <c r="L660" s="1">
        <v>42448.87777777778</v>
      </c>
      <c r="M660" s="1">
        <v>42448</v>
      </c>
      <c r="N660" s="3">
        <f>INT(BrightTV_JoinedTablesnw_2026_04_16_23_55_09[[#This Row],[Viewership.RecordDate22]])</f>
        <v>42448</v>
      </c>
      <c r="O660" s="2">
        <v>0.87777777777777777</v>
      </c>
      <c r="P660" t="s">
        <v>868</v>
      </c>
      <c r="Q660">
        <v>772098</v>
      </c>
      <c r="R660" t="s">
        <v>20</v>
      </c>
    </row>
    <row r="661" spans="1:18" x14ac:dyDescent="0.25">
      <c r="A661">
        <v>772101</v>
      </c>
      <c r="B661" t="s">
        <v>219</v>
      </c>
      <c r="C661" t="s">
        <v>104</v>
      </c>
      <c r="D661" t="s">
        <v>869</v>
      </c>
      <c r="E661" t="s">
        <v>38</v>
      </c>
      <c r="F661" t="s">
        <v>96</v>
      </c>
      <c r="G661">
        <v>41</v>
      </c>
      <c r="H661" t="s">
        <v>40</v>
      </c>
      <c r="I661" t="s">
        <v>221</v>
      </c>
      <c r="J661">
        <v>772101</v>
      </c>
      <c r="K661" t="s">
        <v>169</v>
      </c>
      <c r="L661" s="1">
        <v>42442.905555555553</v>
      </c>
      <c r="M661" s="1">
        <v>42442</v>
      </c>
      <c r="N661" s="3">
        <f>INT(BrightTV_JoinedTablesnw_2026_04_16_23_55_09[[#This Row],[Viewership.RecordDate22]])</f>
        <v>42442</v>
      </c>
      <c r="O661" s="2">
        <v>0.90555555555555556</v>
      </c>
      <c r="P661" t="s">
        <v>64</v>
      </c>
      <c r="Q661">
        <v>772101</v>
      </c>
      <c r="R661" t="s">
        <v>20</v>
      </c>
    </row>
    <row r="662" spans="1:18" x14ac:dyDescent="0.25">
      <c r="A662">
        <v>772101</v>
      </c>
      <c r="B662" t="s">
        <v>219</v>
      </c>
      <c r="C662" t="s">
        <v>104</v>
      </c>
      <c r="D662" t="s">
        <v>869</v>
      </c>
      <c r="E662" t="s">
        <v>38</v>
      </c>
      <c r="F662" t="s">
        <v>96</v>
      </c>
      <c r="G662">
        <v>41</v>
      </c>
      <c r="H662" t="s">
        <v>40</v>
      </c>
      <c r="I662" t="s">
        <v>221</v>
      </c>
      <c r="J662">
        <v>772101</v>
      </c>
      <c r="K662" t="s">
        <v>169</v>
      </c>
      <c r="L662" s="1">
        <v>42453.5</v>
      </c>
      <c r="M662" s="1">
        <v>42453</v>
      </c>
      <c r="N662" s="3">
        <f>INT(BrightTV_JoinedTablesnw_2026_04_16_23_55_09[[#This Row],[Viewership.RecordDate22]])</f>
        <v>42453</v>
      </c>
      <c r="O662" s="2">
        <v>0.5</v>
      </c>
      <c r="P662" t="s">
        <v>241</v>
      </c>
      <c r="Q662">
        <v>772101</v>
      </c>
      <c r="R662" t="s">
        <v>20</v>
      </c>
    </row>
    <row r="663" spans="1:18" x14ac:dyDescent="0.25">
      <c r="A663">
        <v>772101</v>
      </c>
      <c r="B663" t="s">
        <v>219</v>
      </c>
      <c r="C663" t="s">
        <v>104</v>
      </c>
      <c r="D663" t="s">
        <v>869</v>
      </c>
      <c r="E663" t="s">
        <v>38</v>
      </c>
      <c r="F663" t="s">
        <v>96</v>
      </c>
      <c r="G663">
        <v>41</v>
      </c>
      <c r="H663" t="s">
        <v>40</v>
      </c>
      <c r="I663" t="s">
        <v>221</v>
      </c>
      <c r="J663">
        <v>772101</v>
      </c>
      <c r="K663" t="s">
        <v>129</v>
      </c>
      <c r="L663" s="1">
        <v>42403.90347222222</v>
      </c>
      <c r="M663" s="1">
        <v>42403</v>
      </c>
      <c r="N663" s="3">
        <f>INT(BrightTV_JoinedTablesnw_2026_04_16_23_55_09[[#This Row],[Viewership.RecordDate22]])</f>
        <v>42403</v>
      </c>
      <c r="O663" s="2">
        <v>0.90347222222222223</v>
      </c>
      <c r="P663" t="s">
        <v>870</v>
      </c>
      <c r="Q663">
        <v>772101</v>
      </c>
      <c r="R663" t="s">
        <v>20</v>
      </c>
    </row>
    <row r="664" spans="1:18" x14ac:dyDescent="0.25">
      <c r="A664">
        <v>772102</v>
      </c>
      <c r="B664" t="s">
        <v>103</v>
      </c>
      <c r="C664" t="s">
        <v>298</v>
      </c>
      <c r="D664" t="s">
        <v>841</v>
      </c>
      <c r="E664" t="s">
        <v>38</v>
      </c>
      <c r="F664" t="s">
        <v>96</v>
      </c>
      <c r="G664">
        <v>60</v>
      </c>
      <c r="H664" t="s">
        <v>60</v>
      </c>
      <c r="I664" t="s">
        <v>107</v>
      </c>
      <c r="J664">
        <v>772102</v>
      </c>
      <c r="K664" t="s">
        <v>54</v>
      </c>
      <c r="L664" s="1">
        <v>42383.293749999997</v>
      </c>
      <c r="M664" s="1">
        <v>42383</v>
      </c>
      <c r="N664" s="3">
        <f>INT(BrightTV_JoinedTablesnw_2026_04_16_23_55_09[[#This Row],[Viewership.RecordDate22]])</f>
        <v>42383</v>
      </c>
      <c r="O664" s="2">
        <v>0.29375000000000001</v>
      </c>
      <c r="P664" t="s">
        <v>64</v>
      </c>
      <c r="Q664">
        <v>772102</v>
      </c>
      <c r="R664" t="s">
        <v>20</v>
      </c>
    </row>
    <row r="665" spans="1:18" x14ac:dyDescent="0.25">
      <c r="A665">
        <v>772102</v>
      </c>
      <c r="B665" t="s">
        <v>103</v>
      </c>
      <c r="C665" t="s">
        <v>298</v>
      </c>
      <c r="D665" t="s">
        <v>841</v>
      </c>
      <c r="E665" t="s">
        <v>38</v>
      </c>
      <c r="F665" t="s">
        <v>96</v>
      </c>
      <c r="G665">
        <v>60</v>
      </c>
      <c r="H665" t="s">
        <v>60</v>
      </c>
      <c r="I665" t="s">
        <v>107</v>
      </c>
      <c r="J665">
        <v>772102</v>
      </c>
      <c r="K665" t="s">
        <v>84</v>
      </c>
      <c r="L665" s="1">
        <v>42382.609722222223</v>
      </c>
      <c r="M665" s="1">
        <v>42382</v>
      </c>
      <c r="N665" s="3">
        <f>INT(BrightTV_JoinedTablesnw_2026_04_16_23_55_09[[#This Row],[Viewership.RecordDate22]])</f>
        <v>42382</v>
      </c>
      <c r="O665" s="2">
        <v>0.60972222222222228</v>
      </c>
      <c r="P665" t="s">
        <v>871</v>
      </c>
      <c r="Q665">
        <v>772102</v>
      </c>
      <c r="R665" t="s">
        <v>20</v>
      </c>
    </row>
    <row r="666" spans="1:18" x14ac:dyDescent="0.25">
      <c r="A666">
        <v>772117</v>
      </c>
      <c r="B666" t="s">
        <v>411</v>
      </c>
      <c r="C666" t="s">
        <v>50</v>
      </c>
      <c r="D666" t="s">
        <v>872</v>
      </c>
      <c r="E666" t="s">
        <v>38</v>
      </c>
      <c r="F666" t="s">
        <v>96</v>
      </c>
      <c r="G666">
        <v>29</v>
      </c>
      <c r="H666" t="s">
        <v>60</v>
      </c>
      <c r="I666" t="s">
        <v>414</v>
      </c>
      <c r="J666">
        <v>772117</v>
      </c>
      <c r="K666" t="s">
        <v>32</v>
      </c>
      <c r="L666" s="1">
        <v>42405.490277777775</v>
      </c>
      <c r="M666" s="1">
        <v>42405</v>
      </c>
      <c r="N666" s="3">
        <f>INT(BrightTV_JoinedTablesnw_2026_04_16_23_55_09[[#This Row],[Viewership.RecordDate22]])</f>
        <v>42405</v>
      </c>
      <c r="O666" s="2">
        <v>0.49027777777777776</v>
      </c>
      <c r="P666" t="s">
        <v>812</v>
      </c>
      <c r="Q666">
        <v>772117</v>
      </c>
      <c r="R666" t="s">
        <v>20</v>
      </c>
    </row>
    <row r="667" spans="1:18" x14ac:dyDescent="0.25">
      <c r="A667">
        <v>772117</v>
      </c>
      <c r="B667" t="s">
        <v>411</v>
      </c>
      <c r="C667" t="s">
        <v>50</v>
      </c>
      <c r="D667" t="s">
        <v>872</v>
      </c>
      <c r="E667" t="s">
        <v>38</v>
      </c>
      <c r="F667" t="s">
        <v>96</v>
      </c>
      <c r="G667">
        <v>29</v>
      </c>
      <c r="H667" t="s">
        <v>60</v>
      </c>
      <c r="I667" t="s">
        <v>414</v>
      </c>
      <c r="J667">
        <v>772117</v>
      </c>
      <c r="K667" t="s">
        <v>32</v>
      </c>
      <c r="L667" s="1">
        <v>42404.566666666666</v>
      </c>
      <c r="M667" s="1">
        <v>42404</v>
      </c>
      <c r="N667" s="3">
        <f>INT(BrightTV_JoinedTablesnw_2026_04_16_23_55_09[[#This Row],[Viewership.RecordDate22]])</f>
        <v>42404</v>
      </c>
      <c r="O667" s="2">
        <v>0.56666666666666665</v>
      </c>
      <c r="P667" t="s">
        <v>763</v>
      </c>
      <c r="Q667">
        <v>772117</v>
      </c>
      <c r="R667" t="s">
        <v>20</v>
      </c>
    </row>
    <row r="668" spans="1:18" x14ac:dyDescent="0.25">
      <c r="A668">
        <v>809087</v>
      </c>
      <c r="B668" t="s">
        <v>154</v>
      </c>
      <c r="C668" t="s">
        <v>775</v>
      </c>
      <c r="D668" t="s">
        <v>358</v>
      </c>
      <c r="E668" t="s">
        <v>38</v>
      </c>
      <c r="F668" t="s">
        <v>25</v>
      </c>
      <c r="G668">
        <v>9</v>
      </c>
      <c r="H668" t="s">
        <v>26</v>
      </c>
      <c r="I668" t="s">
        <v>157</v>
      </c>
      <c r="J668">
        <v>809087</v>
      </c>
      <c r="K668" t="s">
        <v>32</v>
      </c>
      <c r="L668" s="1">
        <v>42382.826388888891</v>
      </c>
      <c r="M668" s="1">
        <v>42382</v>
      </c>
      <c r="N668" s="3">
        <f>INT(BrightTV_JoinedTablesnw_2026_04_16_23_55_09[[#This Row],[Viewership.RecordDate22]])</f>
        <v>42382</v>
      </c>
      <c r="O668" s="2">
        <v>0.82638888888888884</v>
      </c>
      <c r="P668" t="s">
        <v>302</v>
      </c>
      <c r="Q668">
        <v>809087</v>
      </c>
      <c r="R668" t="s">
        <v>20</v>
      </c>
    </row>
    <row r="669" spans="1:18" x14ac:dyDescent="0.25">
      <c r="A669">
        <v>809087</v>
      </c>
      <c r="B669" t="s">
        <v>154</v>
      </c>
      <c r="C669" t="s">
        <v>775</v>
      </c>
      <c r="D669" t="s">
        <v>358</v>
      </c>
      <c r="E669" t="s">
        <v>38</v>
      </c>
      <c r="F669" t="s">
        <v>25</v>
      </c>
      <c r="G669">
        <v>9</v>
      </c>
      <c r="H669" t="s">
        <v>26</v>
      </c>
      <c r="I669" t="s">
        <v>157</v>
      </c>
      <c r="J669">
        <v>809087</v>
      </c>
      <c r="K669" t="s">
        <v>47</v>
      </c>
      <c r="L669" s="1">
        <v>42385.693055555559</v>
      </c>
      <c r="M669" s="1">
        <v>42385</v>
      </c>
      <c r="N669" s="3">
        <f>INT(BrightTV_JoinedTablesnw_2026_04_16_23_55_09[[#This Row],[Viewership.RecordDate22]])</f>
        <v>42385</v>
      </c>
      <c r="O669" s="2">
        <v>0.69305555555555554</v>
      </c>
      <c r="P669" t="s">
        <v>56</v>
      </c>
      <c r="Q669">
        <v>809087</v>
      </c>
      <c r="R669" t="s">
        <v>20</v>
      </c>
    </row>
    <row r="670" spans="1:18" x14ac:dyDescent="0.25">
      <c r="A670">
        <v>809087</v>
      </c>
      <c r="B670" t="s">
        <v>154</v>
      </c>
      <c r="C670" t="s">
        <v>775</v>
      </c>
      <c r="D670" t="s">
        <v>358</v>
      </c>
      <c r="E670" t="s">
        <v>38</v>
      </c>
      <c r="F670" t="s">
        <v>25</v>
      </c>
      <c r="G670">
        <v>9</v>
      </c>
      <c r="H670" t="s">
        <v>26</v>
      </c>
      <c r="I670" t="s">
        <v>157</v>
      </c>
      <c r="J670">
        <v>809087</v>
      </c>
      <c r="K670" t="s">
        <v>54</v>
      </c>
      <c r="L670" s="1">
        <v>42383.79583333333</v>
      </c>
      <c r="M670" s="1">
        <v>42383</v>
      </c>
      <c r="N670" s="3">
        <f>INT(BrightTV_JoinedTablesnw_2026_04_16_23_55_09[[#This Row],[Viewership.RecordDate22]])</f>
        <v>42383</v>
      </c>
      <c r="O670" s="2">
        <v>0.79583333333333328</v>
      </c>
      <c r="P670" t="s">
        <v>873</v>
      </c>
      <c r="Q670">
        <v>809087</v>
      </c>
      <c r="R670" t="s">
        <v>20</v>
      </c>
    </row>
    <row r="671" spans="1:18" x14ac:dyDescent="0.25">
      <c r="A671">
        <v>809087</v>
      </c>
      <c r="B671" t="s">
        <v>154</v>
      </c>
      <c r="C671" t="s">
        <v>775</v>
      </c>
      <c r="D671" t="s">
        <v>358</v>
      </c>
      <c r="E671" t="s">
        <v>38</v>
      </c>
      <c r="F671" t="s">
        <v>25</v>
      </c>
      <c r="G671">
        <v>9</v>
      </c>
      <c r="H671" t="s">
        <v>26</v>
      </c>
      <c r="I671" t="s">
        <v>157</v>
      </c>
      <c r="J671">
        <v>809087</v>
      </c>
      <c r="K671" t="s">
        <v>54</v>
      </c>
      <c r="L671" s="1">
        <v>42381.629861111112</v>
      </c>
      <c r="M671" s="1">
        <v>42381</v>
      </c>
      <c r="N671" s="3">
        <f>INT(BrightTV_JoinedTablesnw_2026_04_16_23_55_09[[#This Row],[Viewership.RecordDate22]])</f>
        <v>42381</v>
      </c>
      <c r="O671" s="2">
        <v>0.62986111111111109</v>
      </c>
      <c r="P671" t="s">
        <v>395</v>
      </c>
      <c r="Q671">
        <v>809087</v>
      </c>
      <c r="R671" t="s">
        <v>20</v>
      </c>
    </row>
    <row r="672" spans="1:18" x14ac:dyDescent="0.25">
      <c r="A672">
        <v>788792</v>
      </c>
      <c r="B672" t="s">
        <v>874</v>
      </c>
      <c r="C672" t="s">
        <v>81</v>
      </c>
      <c r="D672" t="s">
        <v>875</v>
      </c>
      <c r="E672" t="s">
        <v>24</v>
      </c>
      <c r="F672" t="s">
        <v>39</v>
      </c>
      <c r="G672">
        <v>36</v>
      </c>
      <c r="H672" t="s">
        <v>40</v>
      </c>
      <c r="I672" t="s">
        <v>876</v>
      </c>
      <c r="J672">
        <v>788792</v>
      </c>
      <c r="K672" t="s">
        <v>129</v>
      </c>
      <c r="L672" s="1">
        <v>42398.298611111109</v>
      </c>
      <c r="M672" s="1">
        <v>42398</v>
      </c>
      <c r="N672" s="3">
        <f>INT(BrightTV_JoinedTablesnw_2026_04_16_23_55_09[[#This Row],[Viewership.RecordDate22]])</f>
        <v>42398</v>
      </c>
      <c r="O672" s="2">
        <v>0.2986111111111111</v>
      </c>
      <c r="P672" t="s">
        <v>877</v>
      </c>
      <c r="Q672">
        <v>788792</v>
      </c>
      <c r="R672" t="s">
        <v>20</v>
      </c>
    </row>
    <row r="673" spans="1:18" x14ac:dyDescent="0.25">
      <c r="A673">
        <v>788792</v>
      </c>
      <c r="B673" t="s">
        <v>874</v>
      </c>
      <c r="C673" t="s">
        <v>81</v>
      </c>
      <c r="D673" t="s">
        <v>875</v>
      </c>
      <c r="E673" t="s">
        <v>24</v>
      </c>
      <c r="F673" t="s">
        <v>39</v>
      </c>
      <c r="G673">
        <v>36</v>
      </c>
      <c r="H673" t="s">
        <v>40</v>
      </c>
      <c r="I673" t="s">
        <v>876</v>
      </c>
      <c r="J673">
        <v>788792</v>
      </c>
      <c r="K673" t="s">
        <v>129</v>
      </c>
      <c r="L673" s="1">
        <v>42385.560416666667</v>
      </c>
      <c r="M673" s="1">
        <v>42385</v>
      </c>
      <c r="N673" s="3">
        <f>INT(BrightTV_JoinedTablesnw_2026_04_16_23_55_09[[#This Row],[Viewership.RecordDate22]])</f>
        <v>42385</v>
      </c>
      <c r="O673" s="2">
        <v>0.56041666666666667</v>
      </c>
      <c r="P673" t="s">
        <v>201</v>
      </c>
      <c r="Q673">
        <v>788792</v>
      </c>
      <c r="R673" t="s">
        <v>20</v>
      </c>
    </row>
    <row r="674" spans="1:18" x14ac:dyDescent="0.25">
      <c r="A674">
        <v>788792</v>
      </c>
      <c r="B674" t="s">
        <v>874</v>
      </c>
      <c r="C674" t="s">
        <v>81</v>
      </c>
      <c r="D674" t="s">
        <v>875</v>
      </c>
      <c r="E674" t="s">
        <v>24</v>
      </c>
      <c r="F674" t="s">
        <v>39</v>
      </c>
      <c r="G674">
        <v>36</v>
      </c>
      <c r="H674" t="s">
        <v>40</v>
      </c>
      <c r="I674" t="s">
        <v>876</v>
      </c>
      <c r="J674">
        <v>788792</v>
      </c>
      <c r="K674" t="s">
        <v>84</v>
      </c>
      <c r="L674" s="1">
        <v>42460.881944444445</v>
      </c>
      <c r="M674" s="1">
        <v>42460</v>
      </c>
      <c r="N674" s="3">
        <f>INT(BrightTV_JoinedTablesnw_2026_04_16_23_55_09[[#This Row],[Viewership.RecordDate22]])</f>
        <v>42460</v>
      </c>
      <c r="O674" s="2">
        <v>0.88194444444444442</v>
      </c>
      <c r="P674" t="s">
        <v>878</v>
      </c>
      <c r="Q674">
        <v>788792</v>
      </c>
      <c r="R674" t="s">
        <v>20</v>
      </c>
    </row>
    <row r="675" spans="1:18" x14ac:dyDescent="0.25">
      <c r="A675">
        <v>788792</v>
      </c>
      <c r="B675" t="s">
        <v>874</v>
      </c>
      <c r="C675" t="s">
        <v>81</v>
      </c>
      <c r="D675" t="s">
        <v>875</v>
      </c>
      <c r="E675" t="s">
        <v>24</v>
      </c>
      <c r="F675" t="s">
        <v>39</v>
      </c>
      <c r="G675">
        <v>36</v>
      </c>
      <c r="H675" t="s">
        <v>40</v>
      </c>
      <c r="I675" t="s">
        <v>876</v>
      </c>
      <c r="J675">
        <v>788792</v>
      </c>
      <c r="K675" t="s">
        <v>129</v>
      </c>
      <c r="L675" s="1">
        <v>42428.598611111112</v>
      </c>
      <c r="M675" s="1">
        <v>42428</v>
      </c>
      <c r="N675" s="3">
        <f>INT(BrightTV_JoinedTablesnw_2026_04_16_23_55_09[[#This Row],[Viewership.RecordDate22]])</f>
        <v>42428</v>
      </c>
      <c r="O675" s="2">
        <v>0.59861111111111109</v>
      </c>
      <c r="P675" t="s">
        <v>339</v>
      </c>
      <c r="Q675">
        <v>788792</v>
      </c>
      <c r="R675" t="s">
        <v>20</v>
      </c>
    </row>
    <row r="676" spans="1:18" x14ac:dyDescent="0.25">
      <c r="A676">
        <v>789360</v>
      </c>
      <c r="B676" t="s">
        <v>93</v>
      </c>
      <c r="C676" t="s">
        <v>81</v>
      </c>
      <c r="D676" t="s">
        <v>501</v>
      </c>
      <c r="E676" t="s">
        <v>38</v>
      </c>
      <c r="F676" t="s">
        <v>39</v>
      </c>
      <c r="G676">
        <v>24</v>
      </c>
      <c r="H676" t="s">
        <v>75</v>
      </c>
      <c r="I676" t="s">
        <v>97</v>
      </c>
      <c r="J676">
        <v>789360</v>
      </c>
      <c r="K676" t="s">
        <v>30</v>
      </c>
      <c r="L676" s="1">
        <v>42413.519444444442</v>
      </c>
      <c r="M676" s="1">
        <v>42413</v>
      </c>
      <c r="N676" s="3">
        <f>INT(BrightTV_JoinedTablesnw_2026_04_16_23_55_09[[#This Row],[Viewership.RecordDate22]])</f>
        <v>42413</v>
      </c>
      <c r="O676" s="2">
        <v>0.51944444444444449</v>
      </c>
      <c r="P676" t="s">
        <v>879</v>
      </c>
      <c r="Q676">
        <v>789360</v>
      </c>
      <c r="R676" t="s">
        <v>20</v>
      </c>
    </row>
    <row r="677" spans="1:18" x14ac:dyDescent="0.25">
      <c r="A677">
        <v>788794</v>
      </c>
      <c r="B677" t="s">
        <v>270</v>
      </c>
      <c r="C677" t="s">
        <v>250</v>
      </c>
      <c r="D677" t="s">
        <v>880</v>
      </c>
      <c r="E677" t="s">
        <v>38</v>
      </c>
      <c r="F677" t="s">
        <v>39</v>
      </c>
      <c r="G677">
        <v>24</v>
      </c>
      <c r="H677" t="s">
        <v>138</v>
      </c>
      <c r="I677" t="s">
        <v>273</v>
      </c>
      <c r="J677">
        <v>788794</v>
      </c>
      <c r="K677" t="s">
        <v>84</v>
      </c>
      <c r="L677" s="1">
        <v>42411.859722222223</v>
      </c>
      <c r="M677" s="1">
        <v>42411</v>
      </c>
      <c r="N677" s="3">
        <f>INT(BrightTV_JoinedTablesnw_2026_04_16_23_55_09[[#This Row],[Viewership.RecordDate22]])</f>
        <v>42411</v>
      </c>
      <c r="O677" s="2">
        <v>0.85972222222222228</v>
      </c>
      <c r="P677" t="s">
        <v>881</v>
      </c>
      <c r="Q677">
        <v>788794</v>
      </c>
      <c r="R677" t="s">
        <v>20</v>
      </c>
    </row>
    <row r="678" spans="1:18" x14ac:dyDescent="0.25">
      <c r="A678">
        <v>788794</v>
      </c>
      <c r="B678" t="s">
        <v>270</v>
      </c>
      <c r="C678" t="s">
        <v>250</v>
      </c>
      <c r="D678" t="s">
        <v>880</v>
      </c>
      <c r="E678" t="s">
        <v>38</v>
      </c>
      <c r="F678" t="s">
        <v>39</v>
      </c>
      <c r="G678">
        <v>24</v>
      </c>
      <c r="H678" t="s">
        <v>138</v>
      </c>
      <c r="I678" t="s">
        <v>273</v>
      </c>
      <c r="J678">
        <v>788794</v>
      </c>
      <c r="K678" t="s">
        <v>32</v>
      </c>
      <c r="L678" s="1">
        <v>42410.52847222222</v>
      </c>
      <c r="M678" s="1">
        <v>42410</v>
      </c>
      <c r="N678" s="3">
        <f>INT(BrightTV_JoinedTablesnw_2026_04_16_23_55_09[[#This Row],[Viewership.RecordDate22]])</f>
        <v>42410</v>
      </c>
      <c r="O678" s="2">
        <v>0.52847222222222223</v>
      </c>
      <c r="P678" t="s">
        <v>882</v>
      </c>
      <c r="Q678">
        <v>788794</v>
      </c>
      <c r="R678" t="s">
        <v>20</v>
      </c>
    </row>
    <row r="679" spans="1:18" x14ac:dyDescent="0.25">
      <c r="A679">
        <v>788794</v>
      </c>
      <c r="B679" t="s">
        <v>270</v>
      </c>
      <c r="C679" t="s">
        <v>250</v>
      </c>
      <c r="D679" t="s">
        <v>880</v>
      </c>
      <c r="E679" t="s">
        <v>38</v>
      </c>
      <c r="F679" t="s">
        <v>39</v>
      </c>
      <c r="G679">
        <v>24</v>
      </c>
      <c r="H679" t="s">
        <v>138</v>
      </c>
      <c r="I679" t="s">
        <v>273</v>
      </c>
      <c r="J679">
        <v>788794</v>
      </c>
      <c r="K679" t="s">
        <v>47</v>
      </c>
      <c r="L679" s="1">
        <v>42406.953472222223</v>
      </c>
      <c r="M679" s="1">
        <v>42406</v>
      </c>
      <c r="N679" s="3">
        <f>INT(BrightTV_JoinedTablesnw_2026_04_16_23_55_09[[#This Row],[Viewership.RecordDate22]])</f>
        <v>42406</v>
      </c>
      <c r="O679" s="2">
        <v>0.95347222222222228</v>
      </c>
      <c r="P679" t="s">
        <v>883</v>
      </c>
      <c r="Q679">
        <v>788794</v>
      </c>
      <c r="R679" t="s">
        <v>20</v>
      </c>
    </row>
    <row r="680" spans="1:18" x14ac:dyDescent="0.25">
      <c r="A680">
        <v>788794</v>
      </c>
      <c r="B680" t="s">
        <v>270</v>
      </c>
      <c r="C680" t="s">
        <v>250</v>
      </c>
      <c r="D680" t="s">
        <v>880</v>
      </c>
      <c r="E680" t="s">
        <v>38</v>
      </c>
      <c r="F680" t="s">
        <v>39</v>
      </c>
      <c r="G680">
        <v>24</v>
      </c>
      <c r="H680" t="s">
        <v>138</v>
      </c>
      <c r="I680" t="s">
        <v>273</v>
      </c>
      <c r="J680">
        <v>788794</v>
      </c>
      <c r="K680" t="s">
        <v>417</v>
      </c>
      <c r="L680" s="1">
        <v>42413.959722222222</v>
      </c>
      <c r="M680" s="1">
        <v>42413</v>
      </c>
      <c r="N680" s="3">
        <f>INT(BrightTV_JoinedTablesnw_2026_04_16_23_55_09[[#This Row],[Viewership.RecordDate22]])</f>
        <v>42413</v>
      </c>
      <c r="O680" s="2">
        <v>0.95972222222222225</v>
      </c>
      <c r="P680" t="s">
        <v>353</v>
      </c>
      <c r="Q680">
        <v>788794</v>
      </c>
      <c r="R680" t="s">
        <v>20</v>
      </c>
    </row>
    <row r="681" spans="1:18" x14ac:dyDescent="0.25">
      <c r="A681">
        <v>809091</v>
      </c>
      <c r="B681" t="s">
        <v>542</v>
      </c>
      <c r="C681" t="s">
        <v>593</v>
      </c>
      <c r="D681" t="s">
        <v>838</v>
      </c>
      <c r="E681" t="s">
        <v>38</v>
      </c>
      <c r="F681" t="s">
        <v>39</v>
      </c>
      <c r="G681">
        <v>51</v>
      </c>
      <c r="H681" t="s">
        <v>40</v>
      </c>
      <c r="I681" t="s">
        <v>545</v>
      </c>
      <c r="J681">
        <v>809091</v>
      </c>
      <c r="K681" t="s">
        <v>77</v>
      </c>
      <c r="L681" s="1">
        <v>42411.955555555556</v>
      </c>
      <c r="M681" s="1">
        <v>42411</v>
      </c>
      <c r="N681" s="3">
        <f>INT(BrightTV_JoinedTablesnw_2026_04_16_23_55_09[[#This Row],[Viewership.RecordDate22]])</f>
        <v>42411</v>
      </c>
      <c r="O681" s="2">
        <v>0.9555555555555556</v>
      </c>
      <c r="P681" t="s">
        <v>275</v>
      </c>
      <c r="Q681">
        <v>809091</v>
      </c>
      <c r="R681" t="s">
        <v>20</v>
      </c>
    </row>
    <row r="682" spans="1:18" x14ac:dyDescent="0.25">
      <c r="A682">
        <v>809091</v>
      </c>
      <c r="B682" t="s">
        <v>542</v>
      </c>
      <c r="C682" t="s">
        <v>593</v>
      </c>
      <c r="D682" t="s">
        <v>838</v>
      </c>
      <c r="E682" t="s">
        <v>38</v>
      </c>
      <c r="F682" t="s">
        <v>39</v>
      </c>
      <c r="G682">
        <v>51</v>
      </c>
      <c r="H682" t="s">
        <v>40</v>
      </c>
      <c r="I682" t="s">
        <v>545</v>
      </c>
      <c r="J682">
        <v>809091</v>
      </c>
      <c r="K682" t="s">
        <v>32</v>
      </c>
      <c r="L682" s="1">
        <v>42451.618750000001</v>
      </c>
      <c r="M682" s="1">
        <v>42451</v>
      </c>
      <c r="N682" s="3">
        <f>INT(BrightTV_JoinedTablesnw_2026_04_16_23_55_09[[#This Row],[Viewership.RecordDate22]])</f>
        <v>42451</v>
      </c>
      <c r="O682" s="2">
        <v>0.61875000000000002</v>
      </c>
      <c r="P682" t="s">
        <v>884</v>
      </c>
      <c r="Q682">
        <v>809091</v>
      </c>
      <c r="R682" t="s">
        <v>20</v>
      </c>
    </row>
    <row r="683" spans="1:18" x14ac:dyDescent="0.25">
      <c r="A683">
        <v>809091</v>
      </c>
      <c r="B683" t="s">
        <v>542</v>
      </c>
      <c r="C683" t="s">
        <v>593</v>
      </c>
      <c r="D683" t="s">
        <v>838</v>
      </c>
      <c r="E683" t="s">
        <v>38</v>
      </c>
      <c r="F683" t="s">
        <v>39</v>
      </c>
      <c r="G683">
        <v>51</v>
      </c>
      <c r="H683" t="s">
        <v>40</v>
      </c>
      <c r="I683" t="s">
        <v>545</v>
      </c>
      <c r="J683">
        <v>809091</v>
      </c>
      <c r="K683" t="s">
        <v>77</v>
      </c>
      <c r="L683" s="1">
        <v>42414.573611111111</v>
      </c>
      <c r="M683" s="1">
        <v>42414</v>
      </c>
      <c r="N683" s="3">
        <f>INT(BrightTV_JoinedTablesnw_2026_04_16_23_55_09[[#This Row],[Viewership.RecordDate22]])</f>
        <v>42414</v>
      </c>
      <c r="O683" s="2">
        <v>0.57361111111111107</v>
      </c>
      <c r="P683" t="s">
        <v>866</v>
      </c>
      <c r="Q683">
        <v>809091</v>
      </c>
      <c r="R683" t="s">
        <v>20</v>
      </c>
    </row>
    <row r="684" spans="1:18" x14ac:dyDescent="0.25">
      <c r="A684">
        <v>809091</v>
      </c>
      <c r="B684" t="s">
        <v>542</v>
      </c>
      <c r="C684" t="s">
        <v>593</v>
      </c>
      <c r="D684" t="s">
        <v>838</v>
      </c>
      <c r="E684" t="s">
        <v>38</v>
      </c>
      <c r="F684" t="s">
        <v>39</v>
      </c>
      <c r="G684">
        <v>51</v>
      </c>
      <c r="H684" t="s">
        <v>40</v>
      </c>
      <c r="I684" t="s">
        <v>545</v>
      </c>
      <c r="J684">
        <v>809091</v>
      </c>
      <c r="K684" t="s">
        <v>129</v>
      </c>
      <c r="L684" s="1">
        <v>42402.530555555553</v>
      </c>
      <c r="M684" s="1">
        <v>42402</v>
      </c>
      <c r="N684" s="3">
        <f>INT(BrightTV_JoinedTablesnw_2026_04_16_23_55_09[[#This Row],[Viewership.RecordDate22]])</f>
        <v>42402</v>
      </c>
      <c r="O684" s="2">
        <v>0.53055555555555556</v>
      </c>
      <c r="P684" t="s">
        <v>885</v>
      </c>
      <c r="Q684">
        <v>809091</v>
      </c>
      <c r="R684" t="s">
        <v>20</v>
      </c>
    </row>
    <row r="685" spans="1:18" x14ac:dyDescent="0.25">
      <c r="A685">
        <v>809091</v>
      </c>
      <c r="B685" t="s">
        <v>542</v>
      </c>
      <c r="C685" t="s">
        <v>593</v>
      </c>
      <c r="D685" t="s">
        <v>838</v>
      </c>
      <c r="E685" t="s">
        <v>38</v>
      </c>
      <c r="F685" t="s">
        <v>39</v>
      </c>
      <c r="G685">
        <v>51</v>
      </c>
      <c r="H685" t="s">
        <v>40</v>
      </c>
      <c r="I685" t="s">
        <v>545</v>
      </c>
      <c r="J685">
        <v>809091</v>
      </c>
      <c r="K685" t="s">
        <v>421</v>
      </c>
      <c r="L685" s="1">
        <v>42391.724305555559</v>
      </c>
      <c r="M685" s="1">
        <v>42391</v>
      </c>
      <c r="N685" s="3">
        <f>INT(BrightTV_JoinedTablesnw_2026_04_16_23_55_09[[#This Row],[Viewership.RecordDate22]])</f>
        <v>42391</v>
      </c>
      <c r="O685" s="2">
        <v>0.72430555555555554</v>
      </c>
      <c r="P685" t="s">
        <v>185</v>
      </c>
      <c r="Q685">
        <v>809091</v>
      </c>
      <c r="R685" t="s">
        <v>20</v>
      </c>
    </row>
    <row r="686" spans="1:18" x14ac:dyDescent="0.25">
      <c r="A686">
        <v>809091</v>
      </c>
      <c r="B686" t="s">
        <v>542</v>
      </c>
      <c r="C686" t="s">
        <v>593</v>
      </c>
      <c r="D686" t="s">
        <v>838</v>
      </c>
      <c r="E686" t="s">
        <v>38</v>
      </c>
      <c r="F686" t="s">
        <v>39</v>
      </c>
      <c r="G686">
        <v>51</v>
      </c>
      <c r="H686" t="s">
        <v>40</v>
      </c>
      <c r="I686" t="s">
        <v>545</v>
      </c>
      <c r="J686">
        <v>809091</v>
      </c>
      <c r="K686" t="s">
        <v>32</v>
      </c>
      <c r="L686" s="1">
        <v>42390.634722222225</v>
      </c>
      <c r="M686" s="1">
        <v>42390</v>
      </c>
      <c r="N686" s="3">
        <f>INT(BrightTV_JoinedTablesnw_2026_04_16_23_55_09[[#This Row],[Viewership.RecordDate22]])</f>
        <v>42390</v>
      </c>
      <c r="O686" s="2">
        <v>0.63472222222222219</v>
      </c>
      <c r="P686" t="s">
        <v>886</v>
      </c>
      <c r="Q686">
        <v>809091</v>
      </c>
      <c r="R686" t="s">
        <v>20</v>
      </c>
    </row>
    <row r="687" spans="1:18" x14ac:dyDescent="0.25">
      <c r="A687">
        <v>809091</v>
      </c>
      <c r="B687" t="s">
        <v>542</v>
      </c>
      <c r="C687" t="s">
        <v>593</v>
      </c>
      <c r="D687" t="s">
        <v>838</v>
      </c>
      <c r="E687" t="s">
        <v>38</v>
      </c>
      <c r="F687" t="s">
        <v>39</v>
      </c>
      <c r="G687">
        <v>51</v>
      </c>
      <c r="H687" t="s">
        <v>40</v>
      </c>
      <c r="I687" t="s">
        <v>545</v>
      </c>
      <c r="J687">
        <v>809091</v>
      </c>
      <c r="K687" t="s">
        <v>32</v>
      </c>
      <c r="L687" s="1">
        <v>42393.745833333334</v>
      </c>
      <c r="M687" s="1">
        <v>42393</v>
      </c>
      <c r="N687" s="3">
        <f>INT(BrightTV_JoinedTablesnw_2026_04_16_23_55_09[[#This Row],[Viewership.RecordDate22]])</f>
        <v>42393</v>
      </c>
      <c r="O687" s="2">
        <v>0.74583333333333335</v>
      </c>
      <c r="P687" t="s">
        <v>303</v>
      </c>
      <c r="Q687">
        <v>809091</v>
      </c>
      <c r="R687" t="s">
        <v>20</v>
      </c>
    </row>
    <row r="688" spans="1:18" x14ac:dyDescent="0.25">
      <c r="A688">
        <v>809091</v>
      </c>
      <c r="B688" t="s">
        <v>542</v>
      </c>
      <c r="C688" t="s">
        <v>593</v>
      </c>
      <c r="D688" t="s">
        <v>838</v>
      </c>
      <c r="E688" t="s">
        <v>38</v>
      </c>
      <c r="F688" t="s">
        <v>39</v>
      </c>
      <c r="G688">
        <v>51</v>
      </c>
      <c r="H688" t="s">
        <v>40</v>
      </c>
      <c r="I688" t="s">
        <v>545</v>
      </c>
      <c r="J688">
        <v>809091</v>
      </c>
      <c r="K688" t="s">
        <v>32</v>
      </c>
      <c r="L688" s="1">
        <v>42391.343055555553</v>
      </c>
      <c r="M688" s="1">
        <v>42391</v>
      </c>
      <c r="N688" s="3">
        <f>INT(BrightTV_JoinedTablesnw_2026_04_16_23_55_09[[#This Row],[Viewership.RecordDate22]])</f>
        <v>42391</v>
      </c>
      <c r="O688" s="2">
        <v>0.34305555555555556</v>
      </c>
      <c r="P688" t="s">
        <v>887</v>
      </c>
      <c r="Q688">
        <v>809091</v>
      </c>
      <c r="R688" t="s">
        <v>20</v>
      </c>
    </row>
    <row r="689" spans="1:18" x14ac:dyDescent="0.25">
      <c r="A689">
        <v>809091</v>
      </c>
      <c r="B689" t="s">
        <v>542</v>
      </c>
      <c r="C689" t="s">
        <v>593</v>
      </c>
      <c r="D689" t="s">
        <v>838</v>
      </c>
      <c r="E689" t="s">
        <v>38</v>
      </c>
      <c r="F689" t="s">
        <v>39</v>
      </c>
      <c r="G689">
        <v>51</v>
      </c>
      <c r="H689" t="s">
        <v>40</v>
      </c>
      <c r="I689" t="s">
        <v>545</v>
      </c>
      <c r="J689">
        <v>809091</v>
      </c>
      <c r="K689" t="s">
        <v>32</v>
      </c>
      <c r="L689" s="1">
        <v>42457.743055555555</v>
      </c>
      <c r="M689" s="1">
        <v>42457</v>
      </c>
      <c r="N689" s="3">
        <f>INT(BrightTV_JoinedTablesnw_2026_04_16_23_55_09[[#This Row],[Viewership.RecordDate22]])</f>
        <v>42457</v>
      </c>
      <c r="O689" s="2">
        <v>0.74305555555555558</v>
      </c>
      <c r="P689" t="s">
        <v>888</v>
      </c>
      <c r="Q689">
        <v>809091</v>
      </c>
      <c r="R689" t="s">
        <v>20</v>
      </c>
    </row>
    <row r="690" spans="1:18" x14ac:dyDescent="0.25">
      <c r="A690">
        <v>809091</v>
      </c>
      <c r="B690" t="s">
        <v>542</v>
      </c>
      <c r="C690" t="s">
        <v>593</v>
      </c>
      <c r="D690" t="s">
        <v>838</v>
      </c>
      <c r="E690" t="s">
        <v>38</v>
      </c>
      <c r="F690" t="s">
        <v>39</v>
      </c>
      <c r="G690">
        <v>51</v>
      </c>
      <c r="H690" t="s">
        <v>40</v>
      </c>
      <c r="I690" t="s">
        <v>545</v>
      </c>
      <c r="J690">
        <v>809091</v>
      </c>
      <c r="K690" t="s">
        <v>32</v>
      </c>
      <c r="L690" s="1">
        <v>42454.836111111108</v>
      </c>
      <c r="M690" s="1">
        <v>42454</v>
      </c>
      <c r="N690" s="3">
        <f>INT(BrightTV_JoinedTablesnw_2026_04_16_23_55_09[[#This Row],[Viewership.RecordDate22]])</f>
        <v>42454</v>
      </c>
      <c r="O690" s="2">
        <v>0.83611111111111114</v>
      </c>
      <c r="P690" t="s">
        <v>889</v>
      </c>
      <c r="Q690">
        <v>809091</v>
      </c>
      <c r="R690" t="s">
        <v>20</v>
      </c>
    </row>
    <row r="691" spans="1:18" x14ac:dyDescent="0.25">
      <c r="A691">
        <v>809094</v>
      </c>
      <c r="B691" t="s">
        <v>158</v>
      </c>
      <c r="C691" t="s">
        <v>743</v>
      </c>
      <c r="D691" t="s">
        <v>890</v>
      </c>
      <c r="E691" t="s">
        <v>38</v>
      </c>
      <c r="F691" t="s">
        <v>96</v>
      </c>
      <c r="G691">
        <v>37</v>
      </c>
      <c r="H691" t="s">
        <v>173</v>
      </c>
      <c r="I691" t="s">
        <v>160</v>
      </c>
      <c r="J691">
        <v>809094</v>
      </c>
      <c r="K691" t="s">
        <v>54</v>
      </c>
      <c r="L691" s="1">
        <v>42420.69027777778</v>
      </c>
      <c r="M691" s="1">
        <v>42420</v>
      </c>
      <c r="N691" s="3">
        <f>INT(BrightTV_JoinedTablesnw_2026_04_16_23_55_09[[#This Row],[Viewership.RecordDate22]])</f>
        <v>42420</v>
      </c>
      <c r="O691" s="2">
        <v>0.69027777777777777</v>
      </c>
      <c r="P691" t="s">
        <v>79</v>
      </c>
      <c r="Q691">
        <v>809094</v>
      </c>
      <c r="R691" t="s">
        <v>20</v>
      </c>
    </row>
    <row r="692" spans="1:18" x14ac:dyDescent="0.25">
      <c r="A692">
        <v>809094</v>
      </c>
      <c r="B692" t="s">
        <v>158</v>
      </c>
      <c r="C692" t="s">
        <v>743</v>
      </c>
      <c r="D692" t="s">
        <v>890</v>
      </c>
      <c r="E692" t="s">
        <v>38</v>
      </c>
      <c r="F692" t="s">
        <v>96</v>
      </c>
      <c r="G692">
        <v>37</v>
      </c>
      <c r="H692" t="s">
        <v>173</v>
      </c>
      <c r="I692" t="s">
        <v>160</v>
      </c>
      <c r="J692">
        <v>809094</v>
      </c>
      <c r="K692" t="s">
        <v>186</v>
      </c>
      <c r="L692" s="1">
        <v>42421.409722222219</v>
      </c>
      <c r="M692" s="1">
        <v>42421</v>
      </c>
      <c r="N692" s="3">
        <f>INT(BrightTV_JoinedTablesnw_2026_04_16_23_55_09[[#This Row],[Viewership.RecordDate22]])</f>
        <v>42421</v>
      </c>
      <c r="O692" s="2">
        <v>0.40972222222222221</v>
      </c>
      <c r="P692" t="s">
        <v>187</v>
      </c>
      <c r="Q692">
        <v>809094</v>
      </c>
      <c r="R692" t="s">
        <v>20</v>
      </c>
    </row>
    <row r="693" spans="1:18" x14ac:dyDescent="0.25">
      <c r="A693">
        <v>809094</v>
      </c>
      <c r="B693" t="s">
        <v>158</v>
      </c>
      <c r="C693" t="s">
        <v>743</v>
      </c>
      <c r="D693" t="s">
        <v>890</v>
      </c>
      <c r="E693" t="s">
        <v>38</v>
      </c>
      <c r="F693" t="s">
        <v>96</v>
      </c>
      <c r="G693">
        <v>37</v>
      </c>
      <c r="H693" t="s">
        <v>173</v>
      </c>
      <c r="I693" t="s">
        <v>160</v>
      </c>
      <c r="J693">
        <v>809094</v>
      </c>
      <c r="K693" t="s">
        <v>18</v>
      </c>
      <c r="L693" s="1">
        <v>42424.806944444441</v>
      </c>
      <c r="M693" s="1">
        <v>42424</v>
      </c>
      <c r="N693" s="3">
        <f>INT(BrightTV_JoinedTablesnw_2026_04_16_23_55_09[[#This Row],[Viewership.RecordDate22]])</f>
        <v>42424</v>
      </c>
      <c r="O693" s="2">
        <v>0.80694444444444446</v>
      </c>
      <c r="P693" t="s">
        <v>161</v>
      </c>
      <c r="Q693">
        <v>809094</v>
      </c>
      <c r="R693" t="s">
        <v>20</v>
      </c>
    </row>
    <row r="694" spans="1:18" x14ac:dyDescent="0.25">
      <c r="A694">
        <v>809094</v>
      </c>
      <c r="B694" t="s">
        <v>158</v>
      </c>
      <c r="C694" t="s">
        <v>743</v>
      </c>
      <c r="D694" t="s">
        <v>890</v>
      </c>
      <c r="E694" t="s">
        <v>38</v>
      </c>
      <c r="F694" t="s">
        <v>96</v>
      </c>
      <c r="G694">
        <v>37</v>
      </c>
      <c r="H694" t="s">
        <v>173</v>
      </c>
      <c r="I694" t="s">
        <v>160</v>
      </c>
      <c r="J694">
        <v>809094</v>
      </c>
      <c r="K694" t="s">
        <v>169</v>
      </c>
      <c r="L694" s="1">
        <v>42424.881944444445</v>
      </c>
      <c r="M694" s="1">
        <v>42424</v>
      </c>
      <c r="N694" s="3">
        <f>INT(BrightTV_JoinedTablesnw_2026_04_16_23_55_09[[#This Row],[Viewership.RecordDate22]])</f>
        <v>42424</v>
      </c>
      <c r="O694" s="2">
        <v>0.88194444444444442</v>
      </c>
      <c r="P694" t="s">
        <v>71</v>
      </c>
      <c r="Q694">
        <v>809094</v>
      </c>
      <c r="R694" t="s">
        <v>20</v>
      </c>
    </row>
    <row r="695" spans="1:18" x14ac:dyDescent="0.25">
      <c r="A695">
        <v>786206</v>
      </c>
      <c r="B695" t="s">
        <v>237</v>
      </c>
      <c r="C695" t="s">
        <v>525</v>
      </c>
      <c r="D695" t="s">
        <v>891</v>
      </c>
      <c r="E695" t="s">
        <v>38</v>
      </c>
      <c r="F695" t="s">
        <v>106</v>
      </c>
      <c r="G695">
        <v>15</v>
      </c>
      <c r="H695" t="s">
        <v>40</v>
      </c>
      <c r="I695" t="s">
        <v>240</v>
      </c>
      <c r="J695">
        <v>786206</v>
      </c>
      <c r="K695" t="s">
        <v>84</v>
      </c>
      <c r="L695" s="1">
        <v>42399.642361111109</v>
      </c>
      <c r="M695" s="1">
        <v>42399</v>
      </c>
      <c r="N695" s="3">
        <f>INT(BrightTV_JoinedTablesnw_2026_04_16_23_55_09[[#This Row],[Viewership.RecordDate22]])</f>
        <v>42399</v>
      </c>
      <c r="O695" s="2">
        <v>0.64236111111111116</v>
      </c>
      <c r="P695" t="s">
        <v>892</v>
      </c>
      <c r="Q695">
        <v>786206</v>
      </c>
      <c r="R695" t="s">
        <v>20</v>
      </c>
    </row>
    <row r="696" spans="1:18" x14ac:dyDescent="0.25">
      <c r="A696">
        <v>786206</v>
      </c>
      <c r="B696" t="s">
        <v>237</v>
      </c>
      <c r="C696" t="s">
        <v>525</v>
      </c>
      <c r="D696" t="s">
        <v>891</v>
      </c>
      <c r="E696" t="s">
        <v>38</v>
      </c>
      <c r="F696" t="s">
        <v>106</v>
      </c>
      <c r="G696">
        <v>15</v>
      </c>
      <c r="H696" t="s">
        <v>40</v>
      </c>
      <c r="I696" t="s">
        <v>240</v>
      </c>
      <c r="J696">
        <v>786206</v>
      </c>
      <c r="K696" t="s">
        <v>84</v>
      </c>
      <c r="L696" s="1">
        <v>42399.633333333331</v>
      </c>
      <c r="M696" s="1">
        <v>42399</v>
      </c>
      <c r="N696" s="3">
        <f>INT(BrightTV_JoinedTablesnw_2026_04_16_23_55_09[[#This Row],[Viewership.RecordDate22]])</f>
        <v>42399</v>
      </c>
      <c r="O696" s="2">
        <v>0.6333333333333333</v>
      </c>
      <c r="P696" t="s">
        <v>209</v>
      </c>
      <c r="Q696">
        <v>786206</v>
      </c>
      <c r="R696" t="s">
        <v>20</v>
      </c>
    </row>
    <row r="697" spans="1:18" x14ac:dyDescent="0.25">
      <c r="A697">
        <v>786206</v>
      </c>
      <c r="B697" t="s">
        <v>237</v>
      </c>
      <c r="C697" t="s">
        <v>525</v>
      </c>
      <c r="D697" t="s">
        <v>891</v>
      </c>
      <c r="E697" t="s">
        <v>38</v>
      </c>
      <c r="F697" t="s">
        <v>106</v>
      </c>
      <c r="G697">
        <v>15</v>
      </c>
      <c r="H697" t="s">
        <v>40</v>
      </c>
      <c r="I697" t="s">
        <v>240</v>
      </c>
      <c r="J697">
        <v>786206</v>
      </c>
      <c r="K697" t="s">
        <v>84</v>
      </c>
      <c r="L697" s="1">
        <v>42398.727083333331</v>
      </c>
      <c r="M697" s="1">
        <v>42398</v>
      </c>
      <c r="N697" s="3">
        <f>INT(BrightTV_JoinedTablesnw_2026_04_16_23_55_09[[#This Row],[Viewership.RecordDate22]])</f>
        <v>42398</v>
      </c>
      <c r="O697" s="2">
        <v>0.7270833333333333</v>
      </c>
      <c r="P697" t="s">
        <v>893</v>
      </c>
      <c r="Q697">
        <v>786206</v>
      </c>
      <c r="R697" t="s">
        <v>20</v>
      </c>
    </row>
    <row r="698" spans="1:18" x14ac:dyDescent="0.25">
      <c r="A698">
        <v>772828</v>
      </c>
      <c r="B698" t="s">
        <v>237</v>
      </c>
      <c r="C698" t="s">
        <v>36</v>
      </c>
      <c r="D698" t="s">
        <v>261</v>
      </c>
      <c r="E698" t="s">
        <v>38</v>
      </c>
      <c r="F698" t="s">
        <v>96</v>
      </c>
      <c r="G698">
        <v>25</v>
      </c>
      <c r="H698" t="s">
        <v>173</v>
      </c>
      <c r="I698" t="s">
        <v>240</v>
      </c>
      <c r="J698">
        <v>772828</v>
      </c>
      <c r="K698" t="s">
        <v>30</v>
      </c>
      <c r="L698" s="1">
        <v>42408.834722222222</v>
      </c>
      <c r="M698" s="1">
        <v>42408</v>
      </c>
      <c r="N698" s="3">
        <f>INT(BrightTV_JoinedTablesnw_2026_04_16_23_55_09[[#This Row],[Viewership.RecordDate22]])</f>
        <v>42408</v>
      </c>
      <c r="O698" s="2">
        <v>0.83472222222222225</v>
      </c>
      <c r="P698" t="s">
        <v>70</v>
      </c>
      <c r="Q698">
        <v>772828</v>
      </c>
      <c r="R698" t="s">
        <v>20</v>
      </c>
    </row>
    <row r="699" spans="1:18" x14ac:dyDescent="0.25">
      <c r="A699">
        <v>809101</v>
      </c>
      <c r="B699" t="s">
        <v>115</v>
      </c>
      <c r="C699" t="s">
        <v>593</v>
      </c>
      <c r="D699" t="s">
        <v>894</v>
      </c>
      <c r="E699" t="s">
        <v>38</v>
      </c>
      <c r="F699" t="s">
        <v>39</v>
      </c>
      <c r="G699">
        <v>28</v>
      </c>
      <c r="H699" t="s">
        <v>138</v>
      </c>
      <c r="I699" t="s">
        <v>118</v>
      </c>
      <c r="J699">
        <v>809101</v>
      </c>
      <c r="K699" t="s">
        <v>47</v>
      </c>
      <c r="L699" s="1">
        <v>42412.74722222222</v>
      </c>
      <c r="M699" s="1">
        <v>42412</v>
      </c>
      <c r="N699" s="3">
        <f>INT(BrightTV_JoinedTablesnw_2026_04_16_23_55_09[[#This Row],[Viewership.RecordDate22]])</f>
        <v>42412</v>
      </c>
      <c r="O699" s="2">
        <v>0.74722222222222223</v>
      </c>
      <c r="P699" t="s">
        <v>431</v>
      </c>
      <c r="Q699">
        <v>809101</v>
      </c>
      <c r="R699" t="s">
        <v>20</v>
      </c>
    </row>
    <row r="700" spans="1:18" x14ac:dyDescent="0.25">
      <c r="A700">
        <v>809102</v>
      </c>
      <c r="B700" t="s">
        <v>550</v>
      </c>
      <c r="C700" t="s">
        <v>543</v>
      </c>
      <c r="D700" t="s">
        <v>895</v>
      </c>
      <c r="E700" t="s">
        <v>38</v>
      </c>
      <c r="F700" t="s">
        <v>106</v>
      </c>
      <c r="G700">
        <v>34</v>
      </c>
      <c r="H700" t="s">
        <v>52</v>
      </c>
      <c r="I700" t="s">
        <v>552</v>
      </c>
      <c r="J700">
        <v>809102</v>
      </c>
      <c r="K700" t="s">
        <v>30</v>
      </c>
      <c r="L700" s="1">
        <v>42420.859722222223</v>
      </c>
      <c r="M700" s="1">
        <v>42420</v>
      </c>
      <c r="N700" s="3">
        <f>INT(BrightTV_JoinedTablesnw_2026_04_16_23_55_09[[#This Row],[Viewership.RecordDate22]])</f>
        <v>42420</v>
      </c>
      <c r="O700" s="2">
        <v>0.85972222222222228</v>
      </c>
      <c r="P700" t="s">
        <v>896</v>
      </c>
      <c r="Q700">
        <v>809102</v>
      </c>
      <c r="R700" t="s">
        <v>20</v>
      </c>
    </row>
    <row r="701" spans="1:18" x14ac:dyDescent="0.25">
      <c r="A701">
        <v>809102</v>
      </c>
      <c r="B701" t="s">
        <v>550</v>
      </c>
      <c r="C701" t="s">
        <v>543</v>
      </c>
      <c r="D701" t="s">
        <v>895</v>
      </c>
      <c r="E701" t="s">
        <v>38</v>
      </c>
      <c r="F701" t="s">
        <v>106</v>
      </c>
      <c r="G701">
        <v>34</v>
      </c>
      <c r="H701" t="s">
        <v>52</v>
      </c>
      <c r="I701" t="s">
        <v>552</v>
      </c>
      <c r="J701">
        <v>809102</v>
      </c>
      <c r="K701" t="s">
        <v>28</v>
      </c>
      <c r="L701" s="1">
        <v>42422.592361111114</v>
      </c>
      <c r="M701" s="1">
        <v>42422</v>
      </c>
      <c r="N701" s="3">
        <f>INT(BrightTV_JoinedTablesnw_2026_04_16_23_55_09[[#This Row],[Viewership.RecordDate22]])</f>
        <v>42422</v>
      </c>
      <c r="O701" s="2">
        <v>0.59236111111111112</v>
      </c>
      <c r="P701" t="s">
        <v>897</v>
      </c>
      <c r="Q701">
        <v>809102</v>
      </c>
      <c r="R701" t="s">
        <v>20</v>
      </c>
    </row>
    <row r="702" spans="1:18" x14ac:dyDescent="0.25">
      <c r="A702">
        <v>809102</v>
      </c>
      <c r="B702" t="s">
        <v>550</v>
      </c>
      <c r="C702" t="s">
        <v>543</v>
      </c>
      <c r="D702" t="s">
        <v>895</v>
      </c>
      <c r="E702" t="s">
        <v>38</v>
      </c>
      <c r="F702" t="s">
        <v>106</v>
      </c>
      <c r="G702">
        <v>34</v>
      </c>
      <c r="H702" t="s">
        <v>52</v>
      </c>
      <c r="I702" t="s">
        <v>552</v>
      </c>
      <c r="J702">
        <v>809102</v>
      </c>
      <c r="K702" t="s">
        <v>84</v>
      </c>
      <c r="L702" s="1">
        <v>42422.802083333336</v>
      </c>
      <c r="M702" s="1">
        <v>42422</v>
      </c>
      <c r="N702" s="3">
        <f>INT(BrightTV_JoinedTablesnw_2026_04_16_23_55_09[[#This Row],[Viewership.RecordDate22]])</f>
        <v>42422</v>
      </c>
      <c r="O702" s="2">
        <v>0.80208333333333337</v>
      </c>
      <c r="P702" t="s">
        <v>898</v>
      </c>
      <c r="Q702">
        <v>809102</v>
      </c>
      <c r="R702" t="s">
        <v>20</v>
      </c>
    </row>
    <row r="703" spans="1:18" x14ac:dyDescent="0.25">
      <c r="A703">
        <v>809102</v>
      </c>
      <c r="B703" t="s">
        <v>550</v>
      </c>
      <c r="C703" t="s">
        <v>543</v>
      </c>
      <c r="D703" t="s">
        <v>895</v>
      </c>
      <c r="E703" t="s">
        <v>38</v>
      </c>
      <c r="F703" t="s">
        <v>106</v>
      </c>
      <c r="G703">
        <v>34</v>
      </c>
      <c r="H703" t="s">
        <v>52</v>
      </c>
      <c r="I703" t="s">
        <v>552</v>
      </c>
      <c r="J703">
        <v>809102</v>
      </c>
      <c r="K703" t="s">
        <v>30</v>
      </c>
      <c r="L703" s="1">
        <v>42420.785416666666</v>
      </c>
      <c r="M703" s="1">
        <v>42420</v>
      </c>
      <c r="N703" s="3">
        <f>INT(BrightTV_JoinedTablesnw_2026_04_16_23_55_09[[#This Row],[Viewership.RecordDate22]])</f>
        <v>42420</v>
      </c>
      <c r="O703" s="2">
        <v>0.78541666666666665</v>
      </c>
      <c r="P703" t="s">
        <v>395</v>
      </c>
      <c r="Q703">
        <v>809102</v>
      </c>
      <c r="R703" t="s">
        <v>20</v>
      </c>
    </row>
    <row r="704" spans="1:18" x14ac:dyDescent="0.25">
      <c r="A704">
        <v>809102</v>
      </c>
      <c r="B704" t="s">
        <v>550</v>
      </c>
      <c r="C704" t="s">
        <v>543</v>
      </c>
      <c r="D704" t="s">
        <v>895</v>
      </c>
      <c r="E704" t="s">
        <v>38</v>
      </c>
      <c r="F704" t="s">
        <v>106</v>
      </c>
      <c r="G704">
        <v>34</v>
      </c>
      <c r="H704" t="s">
        <v>52</v>
      </c>
      <c r="I704" t="s">
        <v>552</v>
      </c>
      <c r="J704">
        <v>809102</v>
      </c>
      <c r="K704" t="s">
        <v>77</v>
      </c>
      <c r="L704" s="1">
        <v>42421.9</v>
      </c>
      <c r="M704" s="1">
        <v>42421</v>
      </c>
      <c r="N704" s="3">
        <f>INT(BrightTV_JoinedTablesnw_2026_04_16_23_55_09[[#This Row],[Viewership.RecordDate22]])</f>
        <v>42421</v>
      </c>
      <c r="O704" s="2">
        <v>0.9</v>
      </c>
      <c r="P704" t="s">
        <v>884</v>
      </c>
      <c r="Q704">
        <v>809102</v>
      </c>
      <c r="R704" t="s">
        <v>20</v>
      </c>
    </row>
    <row r="705" spans="1:18" x14ac:dyDescent="0.25">
      <c r="A705">
        <v>791444</v>
      </c>
      <c r="B705" t="s">
        <v>385</v>
      </c>
      <c r="C705" t="s">
        <v>177</v>
      </c>
      <c r="D705" t="s">
        <v>899</v>
      </c>
      <c r="E705" t="s">
        <v>38</v>
      </c>
      <c r="F705" t="s">
        <v>39</v>
      </c>
      <c r="G705">
        <v>18</v>
      </c>
      <c r="H705" t="s">
        <v>40</v>
      </c>
      <c r="I705" t="s">
        <v>387</v>
      </c>
      <c r="J705">
        <v>791444</v>
      </c>
      <c r="K705" t="s">
        <v>32</v>
      </c>
      <c r="L705" s="1">
        <v>42414.793055555558</v>
      </c>
      <c r="M705" s="1">
        <v>42414</v>
      </c>
      <c r="N705" s="3">
        <f>INT(BrightTV_JoinedTablesnw_2026_04_16_23_55_09[[#This Row],[Viewership.RecordDate22]])</f>
        <v>42414</v>
      </c>
      <c r="O705" s="2">
        <v>0.79305555555555551</v>
      </c>
      <c r="P705" t="s">
        <v>275</v>
      </c>
      <c r="Q705">
        <v>791444</v>
      </c>
      <c r="R705" t="s">
        <v>20</v>
      </c>
    </row>
    <row r="706" spans="1:18" x14ac:dyDescent="0.25">
      <c r="A706">
        <v>803663</v>
      </c>
      <c r="B706" t="s">
        <v>900</v>
      </c>
      <c r="C706" t="s">
        <v>525</v>
      </c>
      <c r="D706" t="s">
        <v>901</v>
      </c>
      <c r="E706" t="s">
        <v>24</v>
      </c>
      <c r="F706" t="s">
        <v>39</v>
      </c>
      <c r="G706">
        <v>24</v>
      </c>
      <c r="H706" t="s">
        <v>40</v>
      </c>
      <c r="I706" t="s">
        <v>902</v>
      </c>
      <c r="J706">
        <v>803663</v>
      </c>
      <c r="K706" t="s">
        <v>84</v>
      </c>
      <c r="L706" s="1">
        <v>42441.861805555556</v>
      </c>
      <c r="M706" s="1">
        <v>42441</v>
      </c>
      <c r="N706" s="3">
        <f>INT(BrightTV_JoinedTablesnw_2026_04_16_23_55_09[[#This Row],[Viewership.RecordDate22]])</f>
        <v>42441</v>
      </c>
      <c r="O706" s="2">
        <v>0.8618055555555556</v>
      </c>
      <c r="P706" t="s">
        <v>903</v>
      </c>
      <c r="Q706">
        <v>803663</v>
      </c>
      <c r="R706" t="s">
        <v>20</v>
      </c>
    </row>
    <row r="707" spans="1:18" x14ac:dyDescent="0.25">
      <c r="A707">
        <v>809111</v>
      </c>
      <c r="B707" t="s">
        <v>223</v>
      </c>
      <c r="C707" t="s">
        <v>193</v>
      </c>
      <c r="D707" t="s">
        <v>904</v>
      </c>
      <c r="E707" t="s">
        <v>38</v>
      </c>
      <c r="F707" t="s">
        <v>39</v>
      </c>
      <c r="G707">
        <v>36</v>
      </c>
      <c r="H707" t="s">
        <v>138</v>
      </c>
      <c r="I707" t="s">
        <v>226</v>
      </c>
      <c r="J707">
        <v>809111</v>
      </c>
      <c r="K707" t="s">
        <v>129</v>
      </c>
      <c r="L707" s="1">
        <v>42419.820138888892</v>
      </c>
      <c r="M707" s="1">
        <v>42419</v>
      </c>
      <c r="N707" s="3">
        <f>INT(BrightTV_JoinedTablesnw_2026_04_16_23_55_09[[#This Row],[Viewership.RecordDate22]])</f>
        <v>42419</v>
      </c>
      <c r="O707" s="2">
        <v>0.82013888888888886</v>
      </c>
      <c r="P707" t="s">
        <v>905</v>
      </c>
      <c r="Q707">
        <v>809111</v>
      </c>
      <c r="R707" t="s">
        <v>20</v>
      </c>
    </row>
    <row r="708" spans="1:18" x14ac:dyDescent="0.25">
      <c r="A708">
        <v>802455</v>
      </c>
      <c r="B708" t="s">
        <v>385</v>
      </c>
      <c r="C708" t="s">
        <v>155</v>
      </c>
      <c r="D708" t="s">
        <v>419</v>
      </c>
      <c r="E708" t="s">
        <v>38</v>
      </c>
      <c r="F708" t="s">
        <v>25</v>
      </c>
      <c r="G708">
        <v>28</v>
      </c>
      <c r="H708" t="s">
        <v>40</v>
      </c>
      <c r="I708" t="s">
        <v>387</v>
      </c>
      <c r="J708">
        <v>802455</v>
      </c>
      <c r="K708" t="s">
        <v>18</v>
      </c>
      <c r="L708" s="1">
        <v>42434.635416666664</v>
      </c>
      <c r="M708" s="1">
        <v>42434</v>
      </c>
      <c r="N708" s="3">
        <f>INT(BrightTV_JoinedTablesnw_2026_04_16_23_55_09[[#This Row],[Viewership.RecordDate22]])</f>
        <v>42434</v>
      </c>
      <c r="O708" s="2">
        <v>0.63541666666666663</v>
      </c>
      <c r="P708" t="s">
        <v>906</v>
      </c>
      <c r="Q708">
        <v>802455</v>
      </c>
      <c r="R708" t="s">
        <v>20</v>
      </c>
    </row>
    <row r="709" spans="1:18" x14ac:dyDescent="0.25">
      <c r="A709">
        <v>802455</v>
      </c>
      <c r="B709" t="s">
        <v>385</v>
      </c>
      <c r="C709" t="s">
        <v>155</v>
      </c>
      <c r="D709" t="s">
        <v>419</v>
      </c>
      <c r="E709" t="s">
        <v>38</v>
      </c>
      <c r="F709" t="s">
        <v>25</v>
      </c>
      <c r="G709">
        <v>28</v>
      </c>
      <c r="H709" t="s">
        <v>40</v>
      </c>
      <c r="I709" t="s">
        <v>387</v>
      </c>
      <c r="J709">
        <v>802455</v>
      </c>
      <c r="K709" t="s">
        <v>28</v>
      </c>
      <c r="L709" s="1">
        <v>42434.645138888889</v>
      </c>
      <c r="M709" s="1">
        <v>42434</v>
      </c>
      <c r="N709" s="3">
        <f>INT(BrightTV_JoinedTablesnw_2026_04_16_23_55_09[[#This Row],[Viewership.RecordDate22]])</f>
        <v>42434</v>
      </c>
      <c r="O709" s="2">
        <v>0.64513888888888893</v>
      </c>
      <c r="P709" t="s">
        <v>396</v>
      </c>
      <c r="Q709">
        <v>802455</v>
      </c>
      <c r="R709" t="s">
        <v>20</v>
      </c>
    </row>
    <row r="710" spans="1:18" x14ac:dyDescent="0.25">
      <c r="A710">
        <v>802455</v>
      </c>
      <c r="B710" t="s">
        <v>385</v>
      </c>
      <c r="C710" t="s">
        <v>155</v>
      </c>
      <c r="D710" t="s">
        <v>419</v>
      </c>
      <c r="E710" t="s">
        <v>38</v>
      </c>
      <c r="F710" t="s">
        <v>25</v>
      </c>
      <c r="G710">
        <v>28</v>
      </c>
      <c r="H710" t="s">
        <v>40</v>
      </c>
      <c r="I710" t="s">
        <v>387</v>
      </c>
      <c r="J710">
        <v>802455</v>
      </c>
      <c r="K710" t="s">
        <v>62</v>
      </c>
      <c r="L710" s="1">
        <v>42435.467361111114</v>
      </c>
      <c r="M710" s="1">
        <v>42435</v>
      </c>
      <c r="N710" s="3">
        <f>INT(BrightTV_JoinedTablesnw_2026_04_16_23_55_09[[#This Row],[Viewership.RecordDate22]])</f>
        <v>42435</v>
      </c>
      <c r="O710" s="2">
        <v>0.46736111111111112</v>
      </c>
      <c r="P710" t="s">
        <v>278</v>
      </c>
      <c r="Q710">
        <v>802455</v>
      </c>
      <c r="R710" t="s">
        <v>20</v>
      </c>
    </row>
    <row r="711" spans="1:18" x14ac:dyDescent="0.25">
      <c r="A711">
        <v>809116</v>
      </c>
      <c r="B711" t="s">
        <v>158</v>
      </c>
      <c r="C711" t="s">
        <v>81</v>
      </c>
      <c r="D711" t="s">
        <v>890</v>
      </c>
      <c r="E711" t="s">
        <v>38</v>
      </c>
      <c r="F711" t="s">
        <v>39</v>
      </c>
      <c r="G711">
        <v>55</v>
      </c>
      <c r="H711" t="s">
        <v>138</v>
      </c>
      <c r="I711" t="s">
        <v>160</v>
      </c>
      <c r="J711">
        <v>809116</v>
      </c>
      <c r="K711" t="s">
        <v>54</v>
      </c>
      <c r="L711" s="1">
        <v>42422.913194444445</v>
      </c>
      <c r="M711" s="1">
        <v>42422</v>
      </c>
      <c r="N711" s="3">
        <f>INT(BrightTV_JoinedTablesnw_2026_04_16_23_55_09[[#This Row],[Viewership.RecordDate22]])</f>
        <v>42422</v>
      </c>
      <c r="O711" s="2">
        <v>0.91319444444444442</v>
      </c>
      <c r="P711" t="s">
        <v>907</v>
      </c>
      <c r="Q711">
        <v>809116</v>
      </c>
      <c r="R711" t="s">
        <v>20</v>
      </c>
    </row>
    <row r="712" spans="1:18" x14ac:dyDescent="0.25">
      <c r="A712">
        <v>809116</v>
      </c>
      <c r="B712" t="s">
        <v>158</v>
      </c>
      <c r="C712" t="s">
        <v>81</v>
      </c>
      <c r="D712" t="s">
        <v>890</v>
      </c>
      <c r="E712" t="s">
        <v>38</v>
      </c>
      <c r="F712" t="s">
        <v>39</v>
      </c>
      <c r="G712">
        <v>55</v>
      </c>
      <c r="H712" t="s">
        <v>138</v>
      </c>
      <c r="I712" t="s">
        <v>160</v>
      </c>
      <c r="J712">
        <v>809116</v>
      </c>
      <c r="K712" t="s">
        <v>47</v>
      </c>
      <c r="L712" s="1">
        <v>42384.863194444442</v>
      </c>
      <c r="M712" s="1">
        <v>42384</v>
      </c>
      <c r="N712" s="3">
        <f>INT(BrightTV_JoinedTablesnw_2026_04_16_23_55_09[[#This Row],[Viewership.RecordDate22]])</f>
        <v>42384</v>
      </c>
      <c r="O712" s="2">
        <v>0.86319444444444449</v>
      </c>
      <c r="P712" t="s">
        <v>64</v>
      </c>
      <c r="Q712">
        <v>809116</v>
      </c>
      <c r="R712" t="s">
        <v>20</v>
      </c>
    </row>
    <row r="713" spans="1:18" x14ac:dyDescent="0.25">
      <c r="A713">
        <v>809117</v>
      </c>
      <c r="B713" t="s">
        <v>567</v>
      </c>
      <c r="C713" t="s">
        <v>136</v>
      </c>
      <c r="D713" t="s">
        <v>908</v>
      </c>
      <c r="E713" t="s">
        <v>24</v>
      </c>
      <c r="F713" t="s">
        <v>39</v>
      </c>
      <c r="G713">
        <v>39</v>
      </c>
      <c r="H713" t="s">
        <v>60</v>
      </c>
      <c r="I713" t="s">
        <v>909</v>
      </c>
      <c r="J713">
        <v>809117</v>
      </c>
      <c r="K713" t="s">
        <v>18</v>
      </c>
      <c r="L713" s="1">
        <v>42435.496527777781</v>
      </c>
      <c r="M713" s="1">
        <v>42435</v>
      </c>
      <c r="N713" s="3">
        <f>INT(BrightTV_JoinedTablesnw_2026_04_16_23_55_09[[#This Row],[Viewership.RecordDate22]])</f>
        <v>42435</v>
      </c>
      <c r="O713" s="2">
        <v>0.49652777777777779</v>
      </c>
      <c r="P713" t="s">
        <v>498</v>
      </c>
      <c r="Q713">
        <v>809117</v>
      </c>
      <c r="R713" t="s">
        <v>20</v>
      </c>
    </row>
    <row r="714" spans="1:18" x14ac:dyDescent="0.25">
      <c r="A714">
        <v>809117</v>
      </c>
      <c r="B714" t="s">
        <v>567</v>
      </c>
      <c r="C714" t="s">
        <v>136</v>
      </c>
      <c r="D714" t="s">
        <v>908</v>
      </c>
      <c r="E714" t="s">
        <v>24</v>
      </c>
      <c r="F714" t="s">
        <v>39</v>
      </c>
      <c r="G714">
        <v>39</v>
      </c>
      <c r="H714" t="s">
        <v>60</v>
      </c>
      <c r="I714" t="s">
        <v>909</v>
      </c>
      <c r="J714">
        <v>809117</v>
      </c>
      <c r="K714" t="s">
        <v>32</v>
      </c>
      <c r="L714" s="1">
        <v>42409.709722222222</v>
      </c>
      <c r="M714" s="1">
        <v>42409</v>
      </c>
      <c r="N714" s="3">
        <f>INT(BrightTV_JoinedTablesnw_2026_04_16_23_55_09[[#This Row],[Viewership.RecordDate22]])</f>
        <v>42409</v>
      </c>
      <c r="O714" s="2">
        <v>0.70972222222222225</v>
      </c>
      <c r="P714" t="s">
        <v>287</v>
      </c>
      <c r="Q714">
        <v>809117</v>
      </c>
      <c r="R714" t="s">
        <v>20</v>
      </c>
    </row>
    <row r="715" spans="1:18" x14ac:dyDescent="0.25">
      <c r="A715">
        <v>809117</v>
      </c>
      <c r="B715" t="s">
        <v>567</v>
      </c>
      <c r="C715" t="s">
        <v>136</v>
      </c>
      <c r="D715" t="s">
        <v>908</v>
      </c>
      <c r="E715" t="s">
        <v>24</v>
      </c>
      <c r="F715" t="s">
        <v>39</v>
      </c>
      <c r="G715">
        <v>39</v>
      </c>
      <c r="H715" t="s">
        <v>60</v>
      </c>
      <c r="I715" t="s">
        <v>909</v>
      </c>
      <c r="J715">
        <v>809117</v>
      </c>
      <c r="K715" t="s">
        <v>32</v>
      </c>
      <c r="L715" s="1">
        <v>42430.757638888892</v>
      </c>
      <c r="M715" s="1">
        <v>42430</v>
      </c>
      <c r="N715" s="3">
        <f>INT(BrightTV_JoinedTablesnw_2026_04_16_23_55_09[[#This Row],[Viewership.RecordDate22]])</f>
        <v>42430</v>
      </c>
      <c r="O715" s="2">
        <v>0.75763888888888886</v>
      </c>
      <c r="P715" t="s">
        <v>504</v>
      </c>
      <c r="Q715">
        <v>809117</v>
      </c>
      <c r="R715" t="s">
        <v>20</v>
      </c>
    </row>
    <row r="716" spans="1:18" x14ac:dyDescent="0.25">
      <c r="A716">
        <v>809117</v>
      </c>
      <c r="B716" t="s">
        <v>567</v>
      </c>
      <c r="C716" t="s">
        <v>136</v>
      </c>
      <c r="D716" t="s">
        <v>908</v>
      </c>
      <c r="E716" t="s">
        <v>24</v>
      </c>
      <c r="F716" t="s">
        <v>39</v>
      </c>
      <c r="G716">
        <v>39</v>
      </c>
      <c r="H716" t="s">
        <v>60</v>
      </c>
      <c r="I716" t="s">
        <v>909</v>
      </c>
      <c r="J716">
        <v>809117</v>
      </c>
      <c r="K716" t="s">
        <v>129</v>
      </c>
      <c r="L716" s="1">
        <v>42430.921527777777</v>
      </c>
      <c r="M716" s="1">
        <v>42430</v>
      </c>
      <c r="N716" s="3">
        <f>INT(BrightTV_JoinedTablesnw_2026_04_16_23_55_09[[#This Row],[Viewership.RecordDate22]])</f>
        <v>42430</v>
      </c>
      <c r="O716" s="2">
        <v>0.92152777777777772</v>
      </c>
      <c r="P716" t="s">
        <v>130</v>
      </c>
      <c r="Q716">
        <v>809117</v>
      </c>
      <c r="R716" t="s">
        <v>20</v>
      </c>
    </row>
    <row r="717" spans="1:18" x14ac:dyDescent="0.25">
      <c r="A717">
        <v>809123</v>
      </c>
      <c r="B717" t="s">
        <v>188</v>
      </c>
      <c r="C717" t="s">
        <v>155</v>
      </c>
      <c r="D717" t="s">
        <v>418</v>
      </c>
      <c r="E717" t="s">
        <v>38</v>
      </c>
      <c r="F717" t="s">
        <v>39</v>
      </c>
      <c r="G717">
        <v>50</v>
      </c>
      <c r="H717" t="s">
        <v>40</v>
      </c>
      <c r="I717" t="s">
        <v>190</v>
      </c>
      <c r="J717">
        <v>809123</v>
      </c>
      <c r="K717" t="s">
        <v>169</v>
      </c>
      <c r="L717" s="1">
        <v>42403.929861111108</v>
      </c>
      <c r="M717" s="1">
        <v>42403</v>
      </c>
      <c r="N717" s="3">
        <f>INT(BrightTV_JoinedTablesnw_2026_04_16_23_55_09[[#This Row],[Viewership.RecordDate22]])</f>
        <v>42403</v>
      </c>
      <c r="O717" s="2">
        <v>0.92986111111111114</v>
      </c>
      <c r="P717" t="s">
        <v>288</v>
      </c>
      <c r="Q717">
        <v>809123</v>
      </c>
      <c r="R717" t="s">
        <v>20</v>
      </c>
    </row>
    <row r="718" spans="1:18" x14ac:dyDescent="0.25">
      <c r="A718">
        <v>809125</v>
      </c>
      <c r="B718" t="s">
        <v>43</v>
      </c>
      <c r="C718" t="s">
        <v>293</v>
      </c>
      <c r="D718" t="s">
        <v>393</v>
      </c>
      <c r="E718" t="s">
        <v>38</v>
      </c>
      <c r="F718" t="s">
        <v>39</v>
      </c>
      <c r="G718">
        <v>53</v>
      </c>
      <c r="H718" t="s">
        <v>75</v>
      </c>
      <c r="I718" t="s">
        <v>46</v>
      </c>
      <c r="J718">
        <v>809125</v>
      </c>
      <c r="K718" t="s">
        <v>129</v>
      </c>
      <c r="L718" s="1">
        <v>42448.826388888891</v>
      </c>
      <c r="M718" s="1">
        <v>42448</v>
      </c>
      <c r="N718" s="3">
        <f>INT(BrightTV_JoinedTablesnw_2026_04_16_23_55_09[[#This Row],[Viewership.RecordDate22]])</f>
        <v>42448</v>
      </c>
      <c r="O718" s="2">
        <v>0.82638888888888884</v>
      </c>
      <c r="P718" t="s">
        <v>910</v>
      </c>
      <c r="Q718">
        <v>809125</v>
      </c>
      <c r="R718" t="s">
        <v>20</v>
      </c>
    </row>
    <row r="719" spans="1:18" x14ac:dyDescent="0.25">
      <c r="A719">
        <v>788827</v>
      </c>
      <c r="B719" t="s">
        <v>484</v>
      </c>
      <c r="C719" t="s">
        <v>298</v>
      </c>
      <c r="D719" t="s">
        <v>911</v>
      </c>
      <c r="E719" t="s">
        <v>38</v>
      </c>
      <c r="F719" t="s">
        <v>39</v>
      </c>
      <c r="G719">
        <v>28</v>
      </c>
      <c r="H719" t="s">
        <v>60</v>
      </c>
      <c r="I719" t="s">
        <v>486</v>
      </c>
      <c r="J719">
        <v>788827</v>
      </c>
      <c r="K719" t="s">
        <v>421</v>
      </c>
      <c r="L719" s="1">
        <v>42412.499305555553</v>
      </c>
      <c r="M719" s="1">
        <v>42412</v>
      </c>
      <c r="N719" s="3">
        <f>INT(BrightTV_JoinedTablesnw_2026_04_16_23_55_09[[#This Row],[Viewership.RecordDate22]])</f>
        <v>42412</v>
      </c>
      <c r="O719" s="2">
        <v>0.49930555555555556</v>
      </c>
      <c r="P719" t="s">
        <v>599</v>
      </c>
      <c r="Q719">
        <v>788827</v>
      </c>
      <c r="R719" t="s">
        <v>20</v>
      </c>
    </row>
    <row r="720" spans="1:18" x14ac:dyDescent="0.25">
      <c r="A720">
        <v>788827</v>
      </c>
      <c r="B720" t="s">
        <v>484</v>
      </c>
      <c r="C720" t="s">
        <v>298</v>
      </c>
      <c r="D720" t="s">
        <v>911</v>
      </c>
      <c r="E720" t="s">
        <v>38</v>
      </c>
      <c r="F720" t="s">
        <v>39</v>
      </c>
      <c r="G720">
        <v>28</v>
      </c>
      <c r="H720" t="s">
        <v>60</v>
      </c>
      <c r="I720" t="s">
        <v>486</v>
      </c>
      <c r="J720">
        <v>788827</v>
      </c>
      <c r="K720" t="s">
        <v>32</v>
      </c>
      <c r="L720" s="1">
        <v>42439.685416666667</v>
      </c>
      <c r="M720" s="1">
        <v>42439</v>
      </c>
      <c r="N720" s="3">
        <f>INT(BrightTV_JoinedTablesnw_2026_04_16_23_55_09[[#This Row],[Viewership.RecordDate22]])</f>
        <v>42439</v>
      </c>
      <c r="O720" s="2">
        <v>0.68541666666666667</v>
      </c>
      <c r="P720" t="s">
        <v>599</v>
      </c>
      <c r="Q720">
        <v>788827</v>
      </c>
      <c r="R720" t="s">
        <v>20</v>
      </c>
    </row>
    <row r="721" spans="1:18" x14ac:dyDescent="0.25">
      <c r="A721">
        <v>809127</v>
      </c>
      <c r="B721" t="s">
        <v>57</v>
      </c>
      <c r="C721" t="s">
        <v>772</v>
      </c>
      <c r="D721" t="s">
        <v>696</v>
      </c>
      <c r="E721" t="s">
        <v>38</v>
      </c>
      <c r="F721" t="s">
        <v>25</v>
      </c>
      <c r="G721">
        <v>59</v>
      </c>
      <c r="H721" t="s">
        <v>40</v>
      </c>
      <c r="I721" t="s">
        <v>61</v>
      </c>
      <c r="J721">
        <v>809127</v>
      </c>
      <c r="K721" t="s">
        <v>47</v>
      </c>
      <c r="L721" s="1">
        <v>42447.536805555559</v>
      </c>
      <c r="M721" s="1">
        <v>42447</v>
      </c>
      <c r="N721" s="3">
        <f>INT(BrightTV_JoinedTablesnw_2026_04_16_23_55_09[[#This Row],[Viewership.RecordDate22]])</f>
        <v>42447</v>
      </c>
      <c r="O721" s="2">
        <v>0.53680555555555554</v>
      </c>
      <c r="P721" t="s">
        <v>912</v>
      </c>
      <c r="Q721">
        <v>809127</v>
      </c>
      <c r="R721" t="s">
        <v>20</v>
      </c>
    </row>
    <row r="722" spans="1:18" x14ac:dyDescent="0.25">
      <c r="A722">
        <v>809127</v>
      </c>
      <c r="B722" t="s">
        <v>57</v>
      </c>
      <c r="C722" t="s">
        <v>772</v>
      </c>
      <c r="D722" t="s">
        <v>696</v>
      </c>
      <c r="E722" t="s">
        <v>38</v>
      </c>
      <c r="F722" t="s">
        <v>25</v>
      </c>
      <c r="G722">
        <v>59</v>
      </c>
      <c r="H722" t="s">
        <v>40</v>
      </c>
      <c r="I722" t="s">
        <v>61</v>
      </c>
      <c r="J722">
        <v>809127</v>
      </c>
      <c r="K722" t="s">
        <v>47</v>
      </c>
      <c r="L722" s="1">
        <v>42418.375</v>
      </c>
      <c r="M722" s="1">
        <v>42418</v>
      </c>
      <c r="N722" s="3">
        <f>INT(BrightTV_JoinedTablesnw_2026_04_16_23_55_09[[#This Row],[Viewership.RecordDate22]])</f>
        <v>42418</v>
      </c>
      <c r="O722" s="2">
        <v>0.375</v>
      </c>
      <c r="P722" t="s">
        <v>645</v>
      </c>
      <c r="Q722">
        <v>809127</v>
      </c>
      <c r="R722" t="s">
        <v>20</v>
      </c>
    </row>
    <row r="723" spans="1:18" x14ac:dyDescent="0.25">
      <c r="A723">
        <v>793729</v>
      </c>
      <c r="B723" t="s">
        <v>542</v>
      </c>
      <c r="C723" t="s">
        <v>344</v>
      </c>
      <c r="D723" t="s">
        <v>647</v>
      </c>
      <c r="E723" t="s">
        <v>38</v>
      </c>
      <c r="F723" t="s">
        <v>96</v>
      </c>
      <c r="G723">
        <v>36</v>
      </c>
      <c r="H723" t="s">
        <v>60</v>
      </c>
      <c r="I723" t="s">
        <v>545</v>
      </c>
      <c r="J723">
        <v>793729</v>
      </c>
      <c r="K723" t="s">
        <v>169</v>
      </c>
      <c r="L723" s="1">
        <v>42378.38958333333</v>
      </c>
      <c r="M723" s="1">
        <v>42378</v>
      </c>
      <c r="N723" s="3">
        <f>INT(BrightTV_JoinedTablesnw_2026_04_16_23_55_09[[#This Row],[Viewership.RecordDate22]])</f>
        <v>42378</v>
      </c>
      <c r="O723" s="2">
        <v>0.38958333333333334</v>
      </c>
      <c r="P723" t="s">
        <v>913</v>
      </c>
      <c r="Q723">
        <v>793729</v>
      </c>
      <c r="R723" t="s">
        <v>20</v>
      </c>
    </row>
    <row r="724" spans="1:18" x14ac:dyDescent="0.25">
      <c r="A724">
        <v>793729</v>
      </c>
      <c r="B724" t="s">
        <v>542</v>
      </c>
      <c r="C724" t="s">
        <v>344</v>
      </c>
      <c r="D724" t="s">
        <v>647</v>
      </c>
      <c r="E724" t="s">
        <v>38</v>
      </c>
      <c r="F724" t="s">
        <v>96</v>
      </c>
      <c r="G724">
        <v>36</v>
      </c>
      <c r="H724" t="s">
        <v>60</v>
      </c>
      <c r="I724" t="s">
        <v>545</v>
      </c>
      <c r="J724">
        <v>793729</v>
      </c>
      <c r="K724" t="s">
        <v>30</v>
      </c>
      <c r="L724" s="1">
        <v>42383.716666666667</v>
      </c>
      <c r="M724" s="1">
        <v>42383</v>
      </c>
      <c r="N724" s="3">
        <f>INT(BrightTV_JoinedTablesnw_2026_04_16_23_55_09[[#This Row],[Viewership.RecordDate22]])</f>
        <v>42383</v>
      </c>
      <c r="O724" s="2">
        <v>0.71666666666666667</v>
      </c>
      <c r="P724" t="s">
        <v>914</v>
      </c>
      <c r="Q724">
        <v>793729</v>
      </c>
      <c r="R724" t="s">
        <v>20</v>
      </c>
    </row>
    <row r="725" spans="1:18" x14ac:dyDescent="0.25">
      <c r="A725">
        <v>809128</v>
      </c>
      <c r="B725" t="s">
        <v>426</v>
      </c>
      <c r="C725" t="s">
        <v>166</v>
      </c>
      <c r="D725" t="s">
        <v>832</v>
      </c>
      <c r="E725" t="s">
        <v>38</v>
      </c>
      <c r="F725" t="s">
        <v>39</v>
      </c>
      <c r="G725">
        <v>18</v>
      </c>
      <c r="H725" t="s">
        <v>40</v>
      </c>
      <c r="I725" t="s">
        <v>428</v>
      </c>
      <c r="J725">
        <v>809128</v>
      </c>
      <c r="K725" t="s">
        <v>77</v>
      </c>
      <c r="L725" s="1">
        <v>42418.969444444447</v>
      </c>
      <c r="M725" s="1">
        <v>42418</v>
      </c>
      <c r="N725" s="3">
        <f>INT(BrightTV_JoinedTablesnw_2026_04_16_23_55_09[[#This Row],[Viewership.RecordDate22]])</f>
        <v>42418</v>
      </c>
      <c r="O725" s="2">
        <v>0.96944444444444444</v>
      </c>
      <c r="P725" t="s">
        <v>208</v>
      </c>
      <c r="Q725">
        <v>809128</v>
      </c>
      <c r="R725" t="s">
        <v>20</v>
      </c>
    </row>
    <row r="726" spans="1:18" x14ac:dyDescent="0.25">
      <c r="A726">
        <v>809128</v>
      </c>
      <c r="B726" t="s">
        <v>426</v>
      </c>
      <c r="C726" t="s">
        <v>166</v>
      </c>
      <c r="D726" t="s">
        <v>832</v>
      </c>
      <c r="E726" t="s">
        <v>38</v>
      </c>
      <c r="F726" t="s">
        <v>39</v>
      </c>
      <c r="G726">
        <v>18</v>
      </c>
      <c r="H726" t="s">
        <v>40</v>
      </c>
      <c r="I726" t="s">
        <v>428</v>
      </c>
      <c r="J726">
        <v>809128</v>
      </c>
      <c r="K726" t="s">
        <v>32</v>
      </c>
      <c r="L726" s="1">
        <v>42418.974999999999</v>
      </c>
      <c r="M726" s="1">
        <v>42418</v>
      </c>
      <c r="N726" s="3">
        <f>INT(BrightTV_JoinedTablesnw_2026_04_16_23_55_09[[#This Row],[Viewership.RecordDate22]])</f>
        <v>42418</v>
      </c>
      <c r="O726" s="2">
        <v>0.97499999999999998</v>
      </c>
      <c r="P726" t="s">
        <v>64</v>
      </c>
      <c r="Q726">
        <v>809128</v>
      </c>
      <c r="R726" t="s">
        <v>20</v>
      </c>
    </row>
    <row r="727" spans="1:18" x14ac:dyDescent="0.25">
      <c r="A727">
        <v>809128</v>
      </c>
      <c r="B727" t="s">
        <v>426</v>
      </c>
      <c r="C727" t="s">
        <v>166</v>
      </c>
      <c r="D727" t="s">
        <v>832</v>
      </c>
      <c r="E727" t="s">
        <v>38</v>
      </c>
      <c r="F727" t="s">
        <v>39</v>
      </c>
      <c r="G727">
        <v>18</v>
      </c>
      <c r="H727" t="s">
        <v>40</v>
      </c>
      <c r="I727" t="s">
        <v>428</v>
      </c>
      <c r="J727">
        <v>809128</v>
      </c>
      <c r="K727" t="s">
        <v>47</v>
      </c>
      <c r="L727" s="1">
        <v>42382.613194444442</v>
      </c>
      <c r="M727" s="1">
        <v>42382</v>
      </c>
      <c r="N727" s="3">
        <f>INT(BrightTV_JoinedTablesnw_2026_04_16_23_55_09[[#This Row],[Viewership.RecordDate22]])</f>
        <v>42382</v>
      </c>
      <c r="O727" s="2">
        <v>0.61319444444444449</v>
      </c>
      <c r="P727" t="s">
        <v>915</v>
      </c>
      <c r="Q727">
        <v>809128</v>
      </c>
      <c r="R727" t="s">
        <v>20</v>
      </c>
    </row>
    <row r="728" spans="1:18" x14ac:dyDescent="0.25">
      <c r="A728">
        <v>809128</v>
      </c>
      <c r="B728" t="s">
        <v>426</v>
      </c>
      <c r="C728" t="s">
        <v>166</v>
      </c>
      <c r="D728" t="s">
        <v>832</v>
      </c>
      <c r="E728" t="s">
        <v>38</v>
      </c>
      <c r="F728" t="s">
        <v>39</v>
      </c>
      <c r="G728">
        <v>18</v>
      </c>
      <c r="H728" t="s">
        <v>40</v>
      </c>
      <c r="I728" t="s">
        <v>428</v>
      </c>
      <c r="J728">
        <v>809128</v>
      </c>
      <c r="K728" t="s">
        <v>77</v>
      </c>
      <c r="L728" s="1">
        <v>42386.293055555558</v>
      </c>
      <c r="M728" s="1">
        <v>42386</v>
      </c>
      <c r="N728" s="3">
        <f>INT(BrightTV_JoinedTablesnw_2026_04_16_23_55_09[[#This Row],[Viewership.RecordDate22]])</f>
        <v>42386</v>
      </c>
      <c r="O728" s="2">
        <v>0.29305555555555557</v>
      </c>
      <c r="P728" t="s">
        <v>91</v>
      </c>
      <c r="Q728">
        <v>809128</v>
      </c>
      <c r="R728" t="s">
        <v>20</v>
      </c>
    </row>
    <row r="729" spans="1:18" x14ac:dyDescent="0.25">
      <c r="A729">
        <v>809128</v>
      </c>
      <c r="B729" t="s">
        <v>426</v>
      </c>
      <c r="C729" t="s">
        <v>166</v>
      </c>
      <c r="D729" t="s">
        <v>832</v>
      </c>
      <c r="E729" t="s">
        <v>38</v>
      </c>
      <c r="F729" t="s">
        <v>39</v>
      </c>
      <c r="G729">
        <v>18</v>
      </c>
      <c r="H729" t="s">
        <v>40</v>
      </c>
      <c r="I729" t="s">
        <v>428</v>
      </c>
      <c r="J729">
        <v>809128</v>
      </c>
      <c r="K729" t="s">
        <v>77</v>
      </c>
      <c r="L729" s="1">
        <v>42385.482638888891</v>
      </c>
      <c r="M729" s="1">
        <v>42385</v>
      </c>
      <c r="N729" s="3">
        <f>INT(BrightTV_JoinedTablesnw_2026_04_16_23_55_09[[#This Row],[Viewership.RecordDate22]])</f>
        <v>42385</v>
      </c>
      <c r="O729" s="2">
        <v>0.4826388888888889</v>
      </c>
      <c r="P729" t="s">
        <v>201</v>
      </c>
      <c r="Q729">
        <v>809128</v>
      </c>
      <c r="R729" t="s">
        <v>20</v>
      </c>
    </row>
    <row r="730" spans="1:18" x14ac:dyDescent="0.25">
      <c r="A730">
        <v>809128</v>
      </c>
      <c r="B730" t="s">
        <v>426</v>
      </c>
      <c r="C730" t="s">
        <v>166</v>
      </c>
      <c r="D730" t="s">
        <v>832</v>
      </c>
      <c r="E730" t="s">
        <v>38</v>
      </c>
      <c r="F730" t="s">
        <v>39</v>
      </c>
      <c r="G730">
        <v>18</v>
      </c>
      <c r="H730" t="s">
        <v>40</v>
      </c>
      <c r="I730" t="s">
        <v>428</v>
      </c>
      <c r="J730">
        <v>809128</v>
      </c>
      <c r="K730" t="s">
        <v>129</v>
      </c>
      <c r="L730" s="1">
        <v>42381.716666666667</v>
      </c>
      <c r="M730" s="1">
        <v>42381</v>
      </c>
      <c r="N730" s="3">
        <f>INT(BrightTV_JoinedTablesnw_2026_04_16_23_55_09[[#This Row],[Viewership.RecordDate22]])</f>
        <v>42381</v>
      </c>
      <c r="O730" s="2">
        <v>0.71666666666666667</v>
      </c>
      <c r="P730" t="s">
        <v>916</v>
      </c>
      <c r="Q730">
        <v>809128</v>
      </c>
      <c r="R730" t="s">
        <v>20</v>
      </c>
    </row>
    <row r="731" spans="1:18" x14ac:dyDescent="0.25">
      <c r="A731">
        <v>809128</v>
      </c>
      <c r="B731" t="s">
        <v>426</v>
      </c>
      <c r="C731" t="s">
        <v>166</v>
      </c>
      <c r="D731" t="s">
        <v>832</v>
      </c>
      <c r="E731" t="s">
        <v>38</v>
      </c>
      <c r="F731" t="s">
        <v>39</v>
      </c>
      <c r="G731">
        <v>18</v>
      </c>
      <c r="H731" t="s">
        <v>40</v>
      </c>
      <c r="I731" t="s">
        <v>428</v>
      </c>
      <c r="J731">
        <v>809128</v>
      </c>
      <c r="K731" t="s">
        <v>62</v>
      </c>
      <c r="L731" s="1">
        <v>42381.863888888889</v>
      </c>
      <c r="M731" s="1">
        <v>42381</v>
      </c>
      <c r="N731" s="3">
        <f>INT(BrightTV_JoinedTablesnw_2026_04_16_23_55_09[[#This Row],[Viewership.RecordDate22]])</f>
        <v>42381</v>
      </c>
      <c r="O731" s="2">
        <v>0.86388888888888893</v>
      </c>
      <c r="P731" t="s">
        <v>733</v>
      </c>
      <c r="Q731">
        <v>809128</v>
      </c>
      <c r="R731" t="s">
        <v>20</v>
      </c>
    </row>
    <row r="732" spans="1:18" x14ac:dyDescent="0.25">
      <c r="A732">
        <v>809128</v>
      </c>
      <c r="B732" t="s">
        <v>426</v>
      </c>
      <c r="C732" t="s">
        <v>166</v>
      </c>
      <c r="D732" t="s">
        <v>832</v>
      </c>
      <c r="E732" t="s">
        <v>38</v>
      </c>
      <c r="F732" t="s">
        <v>39</v>
      </c>
      <c r="G732">
        <v>18</v>
      </c>
      <c r="H732" t="s">
        <v>40</v>
      </c>
      <c r="I732" t="s">
        <v>428</v>
      </c>
      <c r="J732">
        <v>809128</v>
      </c>
      <c r="K732" t="s">
        <v>84</v>
      </c>
      <c r="L732" s="1">
        <v>42381.831944444442</v>
      </c>
      <c r="M732" s="1">
        <v>42381</v>
      </c>
      <c r="N732" s="3">
        <f>INT(BrightTV_JoinedTablesnw_2026_04_16_23_55_09[[#This Row],[Viewership.RecordDate22]])</f>
        <v>42381</v>
      </c>
      <c r="O732" s="2">
        <v>0.83194444444444449</v>
      </c>
      <c r="P732" t="s">
        <v>175</v>
      </c>
      <c r="Q732">
        <v>809128</v>
      </c>
      <c r="R732" t="s">
        <v>20</v>
      </c>
    </row>
    <row r="733" spans="1:18" x14ac:dyDescent="0.25">
      <c r="A733">
        <v>809128</v>
      </c>
      <c r="B733" t="s">
        <v>426</v>
      </c>
      <c r="C733" t="s">
        <v>166</v>
      </c>
      <c r="D733" t="s">
        <v>832</v>
      </c>
      <c r="E733" t="s">
        <v>38</v>
      </c>
      <c r="F733" t="s">
        <v>39</v>
      </c>
      <c r="G733">
        <v>18</v>
      </c>
      <c r="H733" t="s">
        <v>40</v>
      </c>
      <c r="I733" t="s">
        <v>428</v>
      </c>
      <c r="J733">
        <v>809128</v>
      </c>
      <c r="K733" t="s">
        <v>129</v>
      </c>
      <c r="L733" s="1">
        <v>42383.706944444442</v>
      </c>
      <c r="M733" s="1">
        <v>42383</v>
      </c>
      <c r="N733" s="3">
        <f>INT(BrightTV_JoinedTablesnw_2026_04_16_23_55_09[[#This Row],[Viewership.RecordDate22]])</f>
        <v>42383</v>
      </c>
      <c r="O733" s="2">
        <v>0.70694444444444449</v>
      </c>
      <c r="P733" t="s">
        <v>917</v>
      </c>
      <c r="Q733">
        <v>809128</v>
      </c>
      <c r="R733" t="s">
        <v>20</v>
      </c>
    </row>
    <row r="734" spans="1:18" x14ac:dyDescent="0.25">
      <c r="A734">
        <v>809128</v>
      </c>
      <c r="B734" t="s">
        <v>426</v>
      </c>
      <c r="C734" t="s">
        <v>166</v>
      </c>
      <c r="D734" t="s">
        <v>832</v>
      </c>
      <c r="E734" t="s">
        <v>38</v>
      </c>
      <c r="F734" t="s">
        <v>39</v>
      </c>
      <c r="G734">
        <v>18</v>
      </c>
      <c r="H734" t="s">
        <v>40</v>
      </c>
      <c r="I734" t="s">
        <v>428</v>
      </c>
      <c r="J734">
        <v>809128</v>
      </c>
      <c r="K734" t="s">
        <v>77</v>
      </c>
      <c r="L734" s="1">
        <v>42456.930555555555</v>
      </c>
      <c r="M734" s="1">
        <v>42456</v>
      </c>
      <c r="N734" s="3">
        <f>INT(BrightTV_JoinedTablesnw_2026_04_16_23_55_09[[#This Row],[Viewership.RecordDate22]])</f>
        <v>42456</v>
      </c>
      <c r="O734" s="2">
        <v>0.93055555555555558</v>
      </c>
      <c r="P734" t="s">
        <v>918</v>
      </c>
      <c r="Q734">
        <v>809128</v>
      </c>
      <c r="R734" t="s">
        <v>20</v>
      </c>
    </row>
    <row r="735" spans="1:18" x14ac:dyDescent="0.25">
      <c r="A735">
        <v>809128</v>
      </c>
      <c r="B735" t="s">
        <v>426</v>
      </c>
      <c r="C735" t="s">
        <v>166</v>
      </c>
      <c r="D735" t="s">
        <v>832</v>
      </c>
      <c r="E735" t="s">
        <v>38</v>
      </c>
      <c r="F735" t="s">
        <v>39</v>
      </c>
      <c r="G735">
        <v>18</v>
      </c>
      <c r="H735" t="s">
        <v>40</v>
      </c>
      <c r="I735" t="s">
        <v>428</v>
      </c>
      <c r="J735">
        <v>809128</v>
      </c>
      <c r="K735" t="s">
        <v>77</v>
      </c>
      <c r="L735" s="1">
        <v>42455.472916666666</v>
      </c>
      <c r="M735" s="1">
        <v>42455</v>
      </c>
      <c r="N735" s="3">
        <f>INT(BrightTV_JoinedTablesnw_2026_04_16_23_55_09[[#This Row],[Viewership.RecordDate22]])</f>
        <v>42455</v>
      </c>
      <c r="O735" s="2">
        <v>0.47291666666666665</v>
      </c>
      <c r="P735" t="s">
        <v>919</v>
      </c>
      <c r="Q735">
        <v>809128</v>
      </c>
      <c r="R735" t="s">
        <v>20</v>
      </c>
    </row>
    <row r="736" spans="1:18" x14ac:dyDescent="0.25">
      <c r="A736">
        <v>809133</v>
      </c>
      <c r="B736" t="s">
        <v>385</v>
      </c>
      <c r="C736" t="s">
        <v>87</v>
      </c>
      <c r="D736" t="s">
        <v>419</v>
      </c>
      <c r="E736" t="s">
        <v>38</v>
      </c>
      <c r="F736" t="s">
        <v>106</v>
      </c>
      <c r="G736">
        <v>24</v>
      </c>
      <c r="H736" t="s">
        <v>26</v>
      </c>
      <c r="I736" t="s">
        <v>387</v>
      </c>
      <c r="J736">
        <v>809133</v>
      </c>
      <c r="K736" t="s">
        <v>18</v>
      </c>
      <c r="L736" s="1">
        <v>42421.677083333336</v>
      </c>
      <c r="M736" s="1">
        <v>42421</v>
      </c>
      <c r="N736" s="3">
        <f>INT(BrightTV_JoinedTablesnw_2026_04_16_23_55_09[[#This Row],[Viewership.RecordDate22]])</f>
        <v>42421</v>
      </c>
      <c r="O736" s="2">
        <v>0.67708333333333337</v>
      </c>
      <c r="P736" t="s">
        <v>920</v>
      </c>
      <c r="Q736">
        <v>809133</v>
      </c>
      <c r="R736" t="s">
        <v>20</v>
      </c>
    </row>
    <row r="737" spans="1:18" x14ac:dyDescent="0.25">
      <c r="A737">
        <v>809133</v>
      </c>
      <c r="B737" t="s">
        <v>385</v>
      </c>
      <c r="C737" t="s">
        <v>87</v>
      </c>
      <c r="D737" t="s">
        <v>419</v>
      </c>
      <c r="E737" t="s">
        <v>38</v>
      </c>
      <c r="F737" t="s">
        <v>106</v>
      </c>
      <c r="G737">
        <v>24</v>
      </c>
      <c r="H737" t="s">
        <v>26</v>
      </c>
      <c r="I737" t="s">
        <v>387</v>
      </c>
      <c r="J737">
        <v>809133</v>
      </c>
      <c r="K737" t="s">
        <v>18</v>
      </c>
      <c r="L737" s="1">
        <v>42440.45208333333</v>
      </c>
      <c r="M737" s="1">
        <v>42440</v>
      </c>
      <c r="N737" s="3">
        <f>INT(BrightTV_JoinedTablesnw_2026_04_16_23_55_09[[#This Row],[Viewership.RecordDate22]])</f>
        <v>42440</v>
      </c>
      <c r="O737" s="2">
        <v>0.45208333333333334</v>
      </c>
      <c r="P737" t="s">
        <v>921</v>
      </c>
      <c r="Q737">
        <v>809133</v>
      </c>
      <c r="R737" t="s">
        <v>20</v>
      </c>
    </row>
    <row r="738" spans="1:18" x14ac:dyDescent="0.25">
      <c r="A738">
        <v>773728</v>
      </c>
      <c r="B738" t="s">
        <v>165</v>
      </c>
      <c r="C738" t="s">
        <v>148</v>
      </c>
      <c r="D738" t="s">
        <v>922</v>
      </c>
      <c r="E738" t="s">
        <v>38</v>
      </c>
      <c r="F738" t="s">
        <v>16</v>
      </c>
      <c r="G738">
        <v>36</v>
      </c>
      <c r="H738" t="s">
        <v>40</v>
      </c>
      <c r="I738" t="s">
        <v>168</v>
      </c>
      <c r="J738">
        <v>773728</v>
      </c>
      <c r="K738" t="s">
        <v>30</v>
      </c>
      <c r="L738" s="1">
        <v>42406.769444444442</v>
      </c>
      <c r="M738" s="1">
        <v>42406</v>
      </c>
      <c r="N738" s="3">
        <f>INT(BrightTV_JoinedTablesnw_2026_04_16_23_55_09[[#This Row],[Viewership.RecordDate22]])</f>
        <v>42406</v>
      </c>
      <c r="O738" s="2">
        <v>0.76944444444444449</v>
      </c>
      <c r="P738" t="s">
        <v>313</v>
      </c>
      <c r="Q738">
        <v>773728</v>
      </c>
      <c r="R738" t="s">
        <v>20</v>
      </c>
    </row>
    <row r="739" spans="1:18" x14ac:dyDescent="0.25">
      <c r="A739">
        <v>809139</v>
      </c>
      <c r="B739" t="s">
        <v>192</v>
      </c>
      <c r="C739" t="s">
        <v>276</v>
      </c>
      <c r="D739" t="s">
        <v>626</v>
      </c>
      <c r="E739" t="s">
        <v>38</v>
      </c>
      <c r="F739" t="s">
        <v>39</v>
      </c>
      <c r="G739">
        <v>28</v>
      </c>
      <c r="H739" t="s">
        <v>138</v>
      </c>
      <c r="I739" t="s">
        <v>195</v>
      </c>
      <c r="J739">
        <v>809139</v>
      </c>
      <c r="K739" t="s">
        <v>32</v>
      </c>
      <c r="L739" s="1">
        <v>42421.946527777778</v>
      </c>
      <c r="M739" s="1">
        <v>42421</v>
      </c>
      <c r="N739" s="3">
        <f>INT(BrightTV_JoinedTablesnw_2026_04_16_23_55_09[[#This Row],[Viewership.RecordDate22]])</f>
        <v>42421</v>
      </c>
      <c r="O739" s="2">
        <v>0.94652777777777775</v>
      </c>
      <c r="P739" t="s">
        <v>64</v>
      </c>
      <c r="Q739">
        <v>809139</v>
      </c>
      <c r="R739" t="s">
        <v>20</v>
      </c>
    </row>
    <row r="740" spans="1:18" x14ac:dyDescent="0.25">
      <c r="A740">
        <v>809139</v>
      </c>
      <c r="B740" t="s">
        <v>192</v>
      </c>
      <c r="C740" t="s">
        <v>276</v>
      </c>
      <c r="D740" t="s">
        <v>626</v>
      </c>
      <c r="E740" t="s">
        <v>38</v>
      </c>
      <c r="F740" t="s">
        <v>39</v>
      </c>
      <c r="G740">
        <v>28</v>
      </c>
      <c r="H740" t="s">
        <v>138</v>
      </c>
      <c r="I740" t="s">
        <v>195</v>
      </c>
      <c r="J740">
        <v>809139</v>
      </c>
      <c r="K740" t="s">
        <v>84</v>
      </c>
      <c r="L740" s="1">
        <v>42375.790277777778</v>
      </c>
      <c r="M740" s="1">
        <v>42375</v>
      </c>
      <c r="N740" s="3">
        <f>INT(BrightTV_JoinedTablesnw_2026_04_16_23_55_09[[#This Row],[Viewership.RecordDate22]])</f>
        <v>42375</v>
      </c>
      <c r="O740" s="2">
        <v>0.79027777777777775</v>
      </c>
      <c r="P740" t="s">
        <v>371</v>
      </c>
      <c r="Q740">
        <v>809139</v>
      </c>
      <c r="R740" t="s">
        <v>20</v>
      </c>
    </row>
    <row r="741" spans="1:18" x14ac:dyDescent="0.25">
      <c r="A741">
        <v>809139</v>
      </c>
      <c r="B741" t="s">
        <v>192</v>
      </c>
      <c r="C741" t="s">
        <v>276</v>
      </c>
      <c r="D741" t="s">
        <v>626</v>
      </c>
      <c r="E741" t="s">
        <v>38</v>
      </c>
      <c r="F741" t="s">
        <v>39</v>
      </c>
      <c r="G741">
        <v>28</v>
      </c>
      <c r="H741" t="s">
        <v>138</v>
      </c>
      <c r="I741" t="s">
        <v>195</v>
      </c>
      <c r="J741">
        <v>809139</v>
      </c>
      <c r="K741" t="s">
        <v>77</v>
      </c>
      <c r="L741" s="1">
        <v>42376.791666666664</v>
      </c>
      <c r="M741" s="1">
        <v>42376</v>
      </c>
      <c r="N741" s="3">
        <f>INT(BrightTV_JoinedTablesnw_2026_04_16_23_55_09[[#This Row],[Viewership.RecordDate22]])</f>
        <v>42376</v>
      </c>
      <c r="O741" s="2">
        <v>0.79166666666666663</v>
      </c>
      <c r="P741" t="s">
        <v>431</v>
      </c>
      <c r="Q741">
        <v>809139</v>
      </c>
      <c r="R741" t="s">
        <v>20</v>
      </c>
    </row>
    <row r="742" spans="1:18" x14ac:dyDescent="0.25">
      <c r="A742">
        <v>809139</v>
      </c>
      <c r="B742" t="s">
        <v>192</v>
      </c>
      <c r="C742" t="s">
        <v>276</v>
      </c>
      <c r="D742" t="s">
        <v>626</v>
      </c>
      <c r="E742" t="s">
        <v>38</v>
      </c>
      <c r="F742" t="s">
        <v>39</v>
      </c>
      <c r="G742">
        <v>28</v>
      </c>
      <c r="H742" t="s">
        <v>138</v>
      </c>
      <c r="I742" t="s">
        <v>195</v>
      </c>
      <c r="J742">
        <v>809139</v>
      </c>
      <c r="K742" t="s">
        <v>30</v>
      </c>
      <c r="L742" s="1">
        <v>42400.625</v>
      </c>
      <c r="M742" s="1">
        <v>42400</v>
      </c>
      <c r="N742" s="3">
        <f>INT(BrightTV_JoinedTablesnw_2026_04_16_23_55_09[[#This Row],[Viewership.RecordDate22]])</f>
        <v>42400</v>
      </c>
      <c r="O742" s="2">
        <v>0.625</v>
      </c>
      <c r="P742" t="s">
        <v>887</v>
      </c>
      <c r="Q742">
        <v>809139</v>
      </c>
      <c r="R742" t="s">
        <v>20</v>
      </c>
    </row>
    <row r="743" spans="1:18" x14ac:dyDescent="0.25">
      <c r="A743">
        <v>809139</v>
      </c>
      <c r="B743" t="s">
        <v>192</v>
      </c>
      <c r="C743" t="s">
        <v>276</v>
      </c>
      <c r="D743" t="s">
        <v>626</v>
      </c>
      <c r="E743" t="s">
        <v>38</v>
      </c>
      <c r="F743" t="s">
        <v>39</v>
      </c>
      <c r="G743">
        <v>28</v>
      </c>
      <c r="H743" t="s">
        <v>138</v>
      </c>
      <c r="I743" t="s">
        <v>195</v>
      </c>
      <c r="J743">
        <v>809139</v>
      </c>
      <c r="K743" t="s">
        <v>32</v>
      </c>
      <c r="L743" s="1">
        <v>42397.665277777778</v>
      </c>
      <c r="M743" s="1">
        <v>42397</v>
      </c>
      <c r="N743" s="3">
        <f>INT(BrightTV_JoinedTablesnw_2026_04_16_23_55_09[[#This Row],[Viewership.RecordDate22]])</f>
        <v>42397</v>
      </c>
      <c r="O743" s="2">
        <v>0.66527777777777775</v>
      </c>
      <c r="P743" t="s">
        <v>923</v>
      </c>
      <c r="Q743">
        <v>809139</v>
      </c>
      <c r="R743" t="s">
        <v>20</v>
      </c>
    </row>
    <row r="744" spans="1:18" x14ac:dyDescent="0.25">
      <c r="A744">
        <v>809139</v>
      </c>
      <c r="B744" t="s">
        <v>192</v>
      </c>
      <c r="C744" t="s">
        <v>276</v>
      </c>
      <c r="D744" t="s">
        <v>626</v>
      </c>
      <c r="E744" t="s">
        <v>38</v>
      </c>
      <c r="F744" t="s">
        <v>39</v>
      </c>
      <c r="G744">
        <v>28</v>
      </c>
      <c r="H744" t="s">
        <v>138</v>
      </c>
      <c r="I744" t="s">
        <v>195</v>
      </c>
      <c r="J744">
        <v>809139</v>
      </c>
      <c r="K744" t="s">
        <v>129</v>
      </c>
      <c r="L744" s="1">
        <v>42412.453472222223</v>
      </c>
      <c r="M744" s="1">
        <v>42412</v>
      </c>
      <c r="N744" s="3">
        <f>INT(BrightTV_JoinedTablesnw_2026_04_16_23_55_09[[#This Row],[Viewership.RecordDate22]])</f>
        <v>42412</v>
      </c>
      <c r="O744" s="2">
        <v>0.45347222222222222</v>
      </c>
      <c r="P744" t="s">
        <v>924</v>
      </c>
      <c r="Q744">
        <v>809139</v>
      </c>
      <c r="R744" t="s">
        <v>20</v>
      </c>
    </row>
    <row r="745" spans="1:18" x14ac:dyDescent="0.25">
      <c r="A745">
        <v>777290</v>
      </c>
      <c r="B745" t="s">
        <v>576</v>
      </c>
      <c r="C745" t="s">
        <v>233</v>
      </c>
      <c r="D745" t="s">
        <v>925</v>
      </c>
      <c r="E745" t="s">
        <v>38</v>
      </c>
      <c r="F745" t="s">
        <v>25</v>
      </c>
      <c r="G745">
        <v>43</v>
      </c>
      <c r="H745" t="s">
        <v>40</v>
      </c>
      <c r="I745" t="s">
        <v>578</v>
      </c>
      <c r="J745">
        <v>777290</v>
      </c>
      <c r="K745" t="s">
        <v>169</v>
      </c>
      <c r="L745" s="1">
        <v>42400.873611111114</v>
      </c>
      <c r="M745" s="1">
        <v>42400</v>
      </c>
      <c r="N745" s="3">
        <f>INT(BrightTV_JoinedTablesnw_2026_04_16_23_55_09[[#This Row],[Viewership.RecordDate22]])</f>
        <v>42400</v>
      </c>
      <c r="O745" s="2">
        <v>0.87361111111111112</v>
      </c>
      <c r="P745" t="s">
        <v>130</v>
      </c>
      <c r="Q745">
        <v>777290</v>
      </c>
      <c r="R745" t="s">
        <v>20</v>
      </c>
    </row>
    <row r="746" spans="1:18" x14ac:dyDescent="0.25">
      <c r="A746">
        <v>809143</v>
      </c>
      <c r="B746" t="s">
        <v>72</v>
      </c>
      <c r="C746" t="s">
        <v>136</v>
      </c>
      <c r="D746" t="s">
        <v>469</v>
      </c>
      <c r="E746" t="s">
        <v>38</v>
      </c>
      <c r="F746" t="s">
        <v>16</v>
      </c>
      <c r="G746">
        <v>37</v>
      </c>
      <c r="H746" t="s">
        <v>40</v>
      </c>
      <c r="I746" t="s">
        <v>76</v>
      </c>
      <c r="J746">
        <v>809143</v>
      </c>
      <c r="K746" t="s">
        <v>30</v>
      </c>
      <c r="L746" s="1">
        <v>42418.647222222222</v>
      </c>
      <c r="M746" s="1">
        <v>42418</v>
      </c>
      <c r="N746" s="3">
        <f>INT(BrightTV_JoinedTablesnw_2026_04_16_23_55_09[[#This Row],[Viewership.RecordDate22]])</f>
        <v>42418</v>
      </c>
      <c r="O746" s="2">
        <v>0.64722222222222225</v>
      </c>
      <c r="P746" t="s">
        <v>121</v>
      </c>
      <c r="Q746">
        <v>809143</v>
      </c>
      <c r="R746" t="s">
        <v>20</v>
      </c>
    </row>
    <row r="747" spans="1:18" x14ac:dyDescent="0.25">
      <c r="A747">
        <v>809143</v>
      </c>
      <c r="B747" t="s">
        <v>72</v>
      </c>
      <c r="C747" t="s">
        <v>136</v>
      </c>
      <c r="D747" t="s">
        <v>469</v>
      </c>
      <c r="E747" t="s">
        <v>38</v>
      </c>
      <c r="F747" t="s">
        <v>16</v>
      </c>
      <c r="G747">
        <v>37</v>
      </c>
      <c r="H747" t="s">
        <v>40</v>
      </c>
      <c r="I747" t="s">
        <v>76</v>
      </c>
      <c r="J747">
        <v>809143</v>
      </c>
      <c r="K747" t="s">
        <v>84</v>
      </c>
      <c r="L747" s="1">
        <v>42418.654166666667</v>
      </c>
      <c r="M747" s="1">
        <v>42418</v>
      </c>
      <c r="N747" s="3">
        <f>INT(BrightTV_JoinedTablesnw_2026_04_16_23_55_09[[#This Row],[Viewership.RecordDate22]])</f>
        <v>42418</v>
      </c>
      <c r="O747" s="2">
        <v>0.65416666666666667</v>
      </c>
      <c r="P747" t="s">
        <v>926</v>
      </c>
      <c r="Q747">
        <v>809143</v>
      </c>
      <c r="R747" t="s">
        <v>20</v>
      </c>
    </row>
    <row r="748" spans="1:18" x14ac:dyDescent="0.25">
      <c r="A748">
        <v>809147</v>
      </c>
      <c r="B748" t="s">
        <v>292</v>
      </c>
      <c r="C748" t="s">
        <v>543</v>
      </c>
      <c r="D748" t="s">
        <v>927</v>
      </c>
      <c r="E748" t="s">
        <v>38</v>
      </c>
      <c r="F748" t="s">
        <v>16</v>
      </c>
      <c r="G748">
        <v>51</v>
      </c>
      <c r="H748" t="s">
        <v>26</v>
      </c>
      <c r="I748" t="s">
        <v>295</v>
      </c>
      <c r="J748">
        <v>809147</v>
      </c>
      <c r="K748" t="s">
        <v>169</v>
      </c>
      <c r="L748" s="1">
        <v>42424.790277777778</v>
      </c>
      <c r="M748" s="1">
        <v>42424</v>
      </c>
      <c r="N748" s="3">
        <f>INT(BrightTV_JoinedTablesnw_2026_04_16_23_55_09[[#This Row],[Viewership.RecordDate22]])</f>
        <v>42424</v>
      </c>
      <c r="O748" s="2">
        <v>0.79027777777777775</v>
      </c>
      <c r="P748" t="s">
        <v>928</v>
      </c>
      <c r="Q748">
        <v>809147</v>
      </c>
      <c r="R748" t="s">
        <v>20</v>
      </c>
    </row>
    <row r="749" spans="1:18" x14ac:dyDescent="0.25">
      <c r="A749">
        <v>809147</v>
      </c>
      <c r="B749" t="s">
        <v>292</v>
      </c>
      <c r="C749" t="s">
        <v>543</v>
      </c>
      <c r="D749" t="s">
        <v>927</v>
      </c>
      <c r="E749" t="s">
        <v>38</v>
      </c>
      <c r="F749" t="s">
        <v>16</v>
      </c>
      <c r="G749">
        <v>51</v>
      </c>
      <c r="H749" t="s">
        <v>26</v>
      </c>
      <c r="I749" t="s">
        <v>295</v>
      </c>
      <c r="J749">
        <v>809147</v>
      </c>
      <c r="K749" t="s">
        <v>32</v>
      </c>
      <c r="L749" s="1">
        <v>42378.953472222223</v>
      </c>
      <c r="M749" s="1">
        <v>42378</v>
      </c>
      <c r="N749" s="3">
        <f>INT(BrightTV_JoinedTablesnw_2026_04_16_23_55_09[[#This Row],[Viewership.RecordDate22]])</f>
        <v>42378</v>
      </c>
      <c r="O749" s="2">
        <v>0.95347222222222228</v>
      </c>
      <c r="P749" t="s">
        <v>287</v>
      </c>
      <c r="Q749">
        <v>809147</v>
      </c>
      <c r="R749" t="s">
        <v>20</v>
      </c>
    </row>
    <row r="750" spans="1:18" x14ac:dyDescent="0.25">
      <c r="A750">
        <v>809147</v>
      </c>
      <c r="B750" t="s">
        <v>292</v>
      </c>
      <c r="C750" t="s">
        <v>543</v>
      </c>
      <c r="D750" t="s">
        <v>927</v>
      </c>
      <c r="E750" t="s">
        <v>38</v>
      </c>
      <c r="F750" t="s">
        <v>16</v>
      </c>
      <c r="G750">
        <v>51</v>
      </c>
      <c r="H750" t="s">
        <v>26</v>
      </c>
      <c r="I750" t="s">
        <v>295</v>
      </c>
      <c r="J750">
        <v>809147</v>
      </c>
      <c r="K750" t="s">
        <v>169</v>
      </c>
      <c r="L750" s="1">
        <v>42412.35833333333</v>
      </c>
      <c r="M750" s="1">
        <v>42412</v>
      </c>
      <c r="N750" s="3">
        <f>INT(BrightTV_JoinedTablesnw_2026_04_16_23_55_09[[#This Row],[Viewership.RecordDate22]])</f>
        <v>42412</v>
      </c>
      <c r="O750" s="2">
        <v>0.35833333333333334</v>
      </c>
      <c r="P750" t="s">
        <v>64</v>
      </c>
      <c r="Q750">
        <v>809147</v>
      </c>
      <c r="R750" t="s">
        <v>20</v>
      </c>
    </row>
    <row r="751" spans="1:18" x14ac:dyDescent="0.25">
      <c r="A751">
        <v>788844</v>
      </c>
      <c r="B751" t="s">
        <v>122</v>
      </c>
      <c r="C751" t="s">
        <v>177</v>
      </c>
      <c r="D751" t="s">
        <v>124</v>
      </c>
      <c r="E751" t="s">
        <v>38</v>
      </c>
      <c r="F751" t="s">
        <v>39</v>
      </c>
      <c r="G751">
        <v>28</v>
      </c>
      <c r="H751" t="s">
        <v>40</v>
      </c>
      <c r="I751" t="s">
        <v>125</v>
      </c>
      <c r="J751">
        <v>788844</v>
      </c>
      <c r="K751" t="s">
        <v>77</v>
      </c>
      <c r="L751" s="1">
        <v>42411.996527777781</v>
      </c>
      <c r="M751" s="1">
        <v>42411</v>
      </c>
      <c r="N751" s="3">
        <f>INT(BrightTV_JoinedTablesnw_2026_04_16_23_55_09[[#This Row],[Viewership.RecordDate22]])</f>
        <v>42411</v>
      </c>
      <c r="O751" s="2">
        <v>0.99652777777777779</v>
      </c>
      <c r="P751" t="s">
        <v>929</v>
      </c>
      <c r="Q751">
        <v>788844</v>
      </c>
      <c r="R751" t="s">
        <v>20</v>
      </c>
    </row>
    <row r="752" spans="1:18" x14ac:dyDescent="0.25">
      <c r="A752">
        <v>788844</v>
      </c>
      <c r="B752" t="s">
        <v>122</v>
      </c>
      <c r="C752" t="s">
        <v>177</v>
      </c>
      <c r="D752" t="s">
        <v>124</v>
      </c>
      <c r="E752" t="s">
        <v>38</v>
      </c>
      <c r="F752" t="s">
        <v>39</v>
      </c>
      <c r="G752">
        <v>28</v>
      </c>
      <c r="H752" t="s">
        <v>40</v>
      </c>
      <c r="I752" t="s">
        <v>125</v>
      </c>
      <c r="J752">
        <v>788844</v>
      </c>
      <c r="K752" t="s">
        <v>32</v>
      </c>
      <c r="L752" s="1">
        <v>42417.789583333331</v>
      </c>
      <c r="M752" s="1">
        <v>42417</v>
      </c>
      <c r="N752" s="3">
        <f>INT(BrightTV_JoinedTablesnw_2026_04_16_23_55_09[[#This Row],[Viewership.RecordDate22]])</f>
        <v>42417</v>
      </c>
      <c r="O752" s="2">
        <v>0.7895833333333333</v>
      </c>
      <c r="P752" t="s">
        <v>756</v>
      </c>
      <c r="Q752">
        <v>788844</v>
      </c>
      <c r="R752" t="s">
        <v>20</v>
      </c>
    </row>
    <row r="753" spans="1:18" x14ac:dyDescent="0.25">
      <c r="A753">
        <v>788844</v>
      </c>
      <c r="B753" t="s">
        <v>122</v>
      </c>
      <c r="C753" t="s">
        <v>177</v>
      </c>
      <c r="D753" t="s">
        <v>124</v>
      </c>
      <c r="E753" t="s">
        <v>38</v>
      </c>
      <c r="F753" t="s">
        <v>39</v>
      </c>
      <c r="G753">
        <v>28</v>
      </c>
      <c r="H753" t="s">
        <v>40</v>
      </c>
      <c r="I753" t="s">
        <v>125</v>
      </c>
      <c r="J753">
        <v>788844</v>
      </c>
      <c r="K753" t="s">
        <v>152</v>
      </c>
      <c r="L753" s="1">
        <v>42412.852083333331</v>
      </c>
      <c r="M753" s="1">
        <v>42412</v>
      </c>
      <c r="N753" s="3">
        <f>INT(BrightTV_JoinedTablesnw_2026_04_16_23_55_09[[#This Row],[Viewership.RecordDate22]])</f>
        <v>42412</v>
      </c>
      <c r="O753" s="2">
        <v>0.8520833333333333</v>
      </c>
      <c r="P753" t="s">
        <v>200</v>
      </c>
      <c r="Q753">
        <v>788844</v>
      </c>
      <c r="R753" t="s">
        <v>20</v>
      </c>
    </row>
    <row r="754" spans="1:18" x14ac:dyDescent="0.25">
      <c r="A754">
        <v>788844</v>
      </c>
      <c r="B754" t="s">
        <v>122</v>
      </c>
      <c r="C754" t="s">
        <v>177</v>
      </c>
      <c r="D754" t="s">
        <v>124</v>
      </c>
      <c r="E754" t="s">
        <v>38</v>
      </c>
      <c r="F754" t="s">
        <v>39</v>
      </c>
      <c r="G754">
        <v>28</v>
      </c>
      <c r="H754" t="s">
        <v>40</v>
      </c>
      <c r="I754" t="s">
        <v>125</v>
      </c>
      <c r="J754">
        <v>788844</v>
      </c>
      <c r="K754" t="s">
        <v>32</v>
      </c>
      <c r="L754" s="1">
        <v>42412.043055555558</v>
      </c>
      <c r="M754" s="1">
        <v>42412</v>
      </c>
      <c r="N754" s="3">
        <f>INT(BrightTV_JoinedTablesnw_2026_04_16_23_55_09[[#This Row],[Viewership.RecordDate22]])</f>
        <v>42412</v>
      </c>
      <c r="O754" s="2">
        <v>4.3055555555555555E-2</v>
      </c>
      <c r="P754" t="s">
        <v>930</v>
      </c>
      <c r="Q754">
        <v>788844</v>
      </c>
      <c r="R754" t="s">
        <v>20</v>
      </c>
    </row>
    <row r="755" spans="1:18" x14ac:dyDescent="0.25">
      <c r="A755">
        <v>779576</v>
      </c>
      <c r="B755" t="s">
        <v>366</v>
      </c>
      <c r="C755" t="s">
        <v>260</v>
      </c>
      <c r="D755" t="s">
        <v>931</v>
      </c>
      <c r="E755" t="s">
        <v>38</v>
      </c>
      <c r="F755" t="s">
        <v>16</v>
      </c>
      <c r="G755">
        <v>22</v>
      </c>
      <c r="H755" t="s">
        <v>52</v>
      </c>
      <c r="I755" t="s">
        <v>368</v>
      </c>
      <c r="J755">
        <v>779576</v>
      </c>
      <c r="K755" t="s">
        <v>77</v>
      </c>
      <c r="L755" s="1">
        <v>42390.593055555553</v>
      </c>
      <c r="M755" s="1">
        <v>42390</v>
      </c>
      <c r="N755" s="3">
        <f>INT(BrightTV_JoinedTablesnw_2026_04_16_23_55_09[[#This Row],[Viewership.RecordDate22]])</f>
        <v>42390</v>
      </c>
      <c r="O755" s="2">
        <v>0.59305555555555556</v>
      </c>
      <c r="P755" t="s">
        <v>787</v>
      </c>
      <c r="Q755">
        <v>779576</v>
      </c>
      <c r="R755" t="s">
        <v>20</v>
      </c>
    </row>
    <row r="756" spans="1:18" x14ac:dyDescent="0.25">
      <c r="A756">
        <v>779576</v>
      </c>
      <c r="B756" t="s">
        <v>366</v>
      </c>
      <c r="C756" t="s">
        <v>260</v>
      </c>
      <c r="D756" t="s">
        <v>931</v>
      </c>
      <c r="E756" t="s">
        <v>38</v>
      </c>
      <c r="F756" t="s">
        <v>16</v>
      </c>
      <c r="G756">
        <v>22</v>
      </c>
      <c r="H756" t="s">
        <v>52</v>
      </c>
      <c r="I756" t="s">
        <v>368</v>
      </c>
      <c r="J756">
        <v>779576</v>
      </c>
      <c r="K756" t="s">
        <v>30</v>
      </c>
      <c r="L756" s="1">
        <v>42389.338194444441</v>
      </c>
      <c r="M756" s="1">
        <v>42389</v>
      </c>
      <c r="N756" s="3">
        <f>INT(BrightTV_JoinedTablesnw_2026_04_16_23_55_09[[#This Row],[Viewership.RecordDate22]])</f>
        <v>42389</v>
      </c>
      <c r="O756" s="2">
        <v>0.33819444444444446</v>
      </c>
      <c r="P756" t="s">
        <v>71</v>
      </c>
      <c r="Q756">
        <v>779576</v>
      </c>
      <c r="R756" t="s">
        <v>20</v>
      </c>
    </row>
    <row r="757" spans="1:18" x14ac:dyDescent="0.25">
      <c r="A757">
        <v>779576</v>
      </c>
      <c r="B757" t="s">
        <v>366</v>
      </c>
      <c r="C757" t="s">
        <v>260</v>
      </c>
      <c r="D757" t="s">
        <v>931</v>
      </c>
      <c r="E757" t="s">
        <v>38</v>
      </c>
      <c r="F757" t="s">
        <v>16</v>
      </c>
      <c r="G757">
        <v>22</v>
      </c>
      <c r="H757" t="s">
        <v>52</v>
      </c>
      <c r="I757" t="s">
        <v>368</v>
      </c>
      <c r="J757">
        <v>779576</v>
      </c>
      <c r="K757" t="s">
        <v>84</v>
      </c>
      <c r="L757" s="1">
        <v>42395.982638888891</v>
      </c>
      <c r="M757" s="1">
        <v>42395</v>
      </c>
      <c r="N757" s="3">
        <f>INT(BrightTV_JoinedTablesnw_2026_04_16_23_55_09[[#This Row],[Viewership.RecordDate22]])</f>
        <v>42395</v>
      </c>
      <c r="O757" s="2">
        <v>0.98263888888888884</v>
      </c>
      <c r="P757" t="s">
        <v>932</v>
      </c>
      <c r="Q757">
        <v>779576</v>
      </c>
      <c r="R757" t="s">
        <v>20</v>
      </c>
    </row>
    <row r="758" spans="1:18" x14ac:dyDescent="0.25">
      <c r="A758">
        <v>779576</v>
      </c>
      <c r="B758" t="s">
        <v>366</v>
      </c>
      <c r="C758" t="s">
        <v>260</v>
      </c>
      <c r="D758" t="s">
        <v>931</v>
      </c>
      <c r="E758" t="s">
        <v>38</v>
      </c>
      <c r="F758" t="s">
        <v>16</v>
      </c>
      <c r="G758">
        <v>22</v>
      </c>
      <c r="H758" t="s">
        <v>52</v>
      </c>
      <c r="I758" t="s">
        <v>368</v>
      </c>
      <c r="J758">
        <v>779576</v>
      </c>
      <c r="K758" t="s">
        <v>77</v>
      </c>
      <c r="L758" s="1">
        <v>42387.965277777781</v>
      </c>
      <c r="M758" s="1">
        <v>42387</v>
      </c>
      <c r="N758" s="3">
        <f>INT(BrightTV_JoinedTablesnw_2026_04_16_23_55_09[[#This Row],[Viewership.RecordDate22]])</f>
        <v>42387</v>
      </c>
      <c r="O758" s="2">
        <v>0.96527777777777779</v>
      </c>
      <c r="P758" t="s">
        <v>302</v>
      </c>
      <c r="Q758">
        <v>779576</v>
      </c>
      <c r="R758" t="s">
        <v>20</v>
      </c>
    </row>
    <row r="759" spans="1:18" x14ac:dyDescent="0.25">
      <c r="A759">
        <v>779576</v>
      </c>
      <c r="B759" t="s">
        <v>366</v>
      </c>
      <c r="C759" t="s">
        <v>260</v>
      </c>
      <c r="D759" t="s">
        <v>931</v>
      </c>
      <c r="E759" t="s">
        <v>38</v>
      </c>
      <c r="F759" t="s">
        <v>16</v>
      </c>
      <c r="G759">
        <v>22</v>
      </c>
      <c r="H759" t="s">
        <v>52</v>
      </c>
      <c r="I759" t="s">
        <v>368</v>
      </c>
      <c r="J759">
        <v>779576</v>
      </c>
      <c r="K759" t="s">
        <v>47</v>
      </c>
      <c r="L759" s="1">
        <v>42390.607638888891</v>
      </c>
      <c r="M759" s="1">
        <v>42390</v>
      </c>
      <c r="N759" s="3">
        <f>INT(BrightTV_JoinedTablesnw_2026_04_16_23_55_09[[#This Row],[Viewership.RecordDate22]])</f>
        <v>42390</v>
      </c>
      <c r="O759" s="2">
        <v>0.60763888888888884</v>
      </c>
      <c r="P759" t="s">
        <v>144</v>
      </c>
      <c r="Q759">
        <v>779576</v>
      </c>
      <c r="R759" t="s">
        <v>20</v>
      </c>
    </row>
    <row r="760" spans="1:18" x14ac:dyDescent="0.25">
      <c r="A760">
        <v>779588</v>
      </c>
      <c r="B760" t="s">
        <v>228</v>
      </c>
      <c r="C760" t="s">
        <v>104</v>
      </c>
      <c r="D760" t="s">
        <v>306</v>
      </c>
      <c r="E760" t="s">
        <v>38</v>
      </c>
      <c r="F760" t="s">
        <v>25</v>
      </c>
      <c r="G760">
        <v>32</v>
      </c>
      <c r="H760" t="s">
        <v>40</v>
      </c>
      <c r="I760" t="s">
        <v>230</v>
      </c>
      <c r="J760">
        <v>779588</v>
      </c>
      <c r="K760" t="s">
        <v>84</v>
      </c>
      <c r="L760" s="1">
        <v>42426.558333333334</v>
      </c>
      <c r="M760" s="1">
        <v>42426</v>
      </c>
      <c r="N760" s="3">
        <f>INT(BrightTV_JoinedTablesnw_2026_04_16_23_55_09[[#This Row],[Viewership.RecordDate22]])</f>
        <v>42426</v>
      </c>
      <c r="O760" s="2">
        <v>0.55833333333333335</v>
      </c>
      <c r="P760" t="s">
        <v>55</v>
      </c>
      <c r="Q760">
        <v>779588</v>
      </c>
      <c r="R760" t="s">
        <v>20</v>
      </c>
    </row>
    <row r="761" spans="1:18" x14ac:dyDescent="0.25">
      <c r="A761">
        <v>779592</v>
      </c>
      <c r="B761" t="s">
        <v>933</v>
      </c>
      <c r="C761" t="s">
        <v>743</v>
      </c>
      <c r="D761" t="s">
        <v>934</v>
      </c>
      <c r="E761" t="s">
        <v>24</v>
      </c>
      <c r="F761" t="s">
        <v>39</v>
      </c>
      <c r="G761">
        <v>40</v>
      </c>
      <c r="H761" t="s">
        <v>40</v>
      </c>
      <c r="I761" t="s">
        <v>935</v>
      </c>
      <c r="J761">
        <v>779592</v>
      </c>
      <c r="K761" t="s">
        <v>32</v>
      </c>
      <c r="L761" s="1">
        <v>42393.774305555555</v>
      </c>
      <c r="M761" s="1">
        <v>42393</v>
      </c>
      <c r="N761" s="3">
        <f>INT(BrightTV_JoinedTablesnw_2026_04_16_23_55_09[[#This Row],[Viewership.RecordDate22]])</f>
        <v>42393</v>
      </c>
      <c r="O761" s="2">
        <v>0.77430555555555558</v>
      </c>
      <c r="P761" t="s">
        <v>792</v>
      </c>
      <c r="Q761">
        <v>779592</v>
      </c>
      <c r="R761" t="s">
        <v>20</v>
      </c>
    </row>
    <row r="762" spans="1:18" x14ac:dyDescent="0.25">
      <c r="A762">
        <v>779592</v>
      </c>
      <c r="B762" t="s">
        <v>933</v>
      </c>
      <c r="C762" t="s">
        <v>743</v>
      </c>
      <c r="D762" t="s">
        <v>934</v>
      </c>
      <c r="E762" t="s">
        <v>24</v>
      </c>
      <c r="F762" t="s">
        <v>39</v>
      </c>
      <c r="G762">
        <v>40</v>
      </c>
      <c r="H762" t="s">
        <v>40</v>
      </c>
      <c r="I762" t="s">
        <v>935</v>
      </c>
      <c r="J762">
        <v>779592</v>
      </c>
      <c r="K762" t="s">
        <v>129</v>
      </c>
      <c r="L762" s="1">
        <v>42399.669444444444</v>
      </c>
      <c r="M762" s="1">
        <v>42399</v>
      </c>
      <c r="N762" s="3">
        <f>INT(BrightTV_JoinedTablesnw_2026_04_16_23_55_09[[#This Row],[Viewership.RecordDate22]])</f>
        <v>42399</v>
      </c>
      <c r="O762" s="2">
        <v>0.6694444444444444</v>
      </c>
      <c r="P762" t="s">
        <v>936</v>
      </c>
      <c r="Q762">
        <v>779592</v>
      </c>
      <c r="R762" t="s">
        <v>20</v>
      </c>
    </row>
    <row r="763" spans="1:18" x14ac:dyDescent="0.25">
      <c r="A763">
        <v>779592</v>
      </c>
      <c r="B763" t="s">
        <v>933</v>
      </c>
      <c r="C763" t="s">
        <v>743</v>
      </c>
      <c r="D763" t="s">
        <v>934</v>
      </c>
      <c r="E763" t="s">
        <v>24</v>
      </c>
      <c r="F763" t="s">
        <v>39</v>
      </c>
      <c r="G763">
        <v>40</v>
      </c>
      <c r="H763" t="s">
        <v>40</v>
      </c>
      <c r="I763" t="s">
        <v>935</v>
      </c>
      <c r="J763">
        <v>779592</v>
      </c>
      <c r="K763" t="s">
        <v>129</v>
      </c>
      <c r="L763" s="1">
        <v>42408.286111111112</v>
      </c>
      <c r="M763" s="1">
        <v>42408</v>
      </c>
      <c r="N763" s="3">
        <f>INT(BrightTV_JoinedTablesnw_2026_04_16_23_55_09[[#This Row],[Viewership.RecordDate22]])</f>
        <v>42408</v>
      </c>
      <c r="O763" s="2">
        <v>0.28611111111111109</v>
      </c>
      <c r="P763" t="s">
        <v>937</v>
      </c>
      <c r="Q763">
        <v>779592</v>
      </c>
      <c r="R763" t="s">
        <v>20</v>
      </c>
    </row>
    <row r="764" spans="1:18" x14ac:dyDescent="0.25">
      <c r="A764">
        <v>779618</v>
      </c>
      <c r="B764" t="s">
        <v>219</v>
      </c>
      <c r="C764" t="s">
        <v>136</v>
      </c>
      <c r="D764" t="s">
        <v>869</v>
      </c>
      <c r="E764" t="s">
        <v>38</v>
      </c>
      <c r="F764" t="s">
        <v>39</v>
      </c>
      <c r="G764">
        <v>40</v>
      </c>
      <c r="H764" t="s">
        <v>280</v>
      </c>
      <c r="I764" t="s">
        <v>221</v>
      </c>
      <c r="J764">
        <v>779618</v>
      </c>
      <c r="K764" t="s">
        <v>129</v>
      </c>
      <c r="L764" s="1">
        <v>42393.679861111108</v>
      </c>
      <c r="M764" s="1">
        <v>42393</v>
      </c>
      <c r="N764" s="3">
        <f>INT(BrightTV_JoinedTablesnw_2026_04_16_23_55_09[[#This Row],[Viewership.RecordDate22]])</f>
        <v>42393</v>
      </c>
      <c r="O764" s="2">
        <v>0.67986111111111114</v>
      </c>
      <c r="P764" t="s">
        <v>339</v>
      </c>
      <c r="Q764">
        <v>779618</v>
      </c>
      <c r="R764" t="s">
        <v>20</v>
      </c>
    </row>
    <row r="765" spans="1:18" x14ac:dyDescent="0.25">
      <c r="A765">
        <v>779618</v>
      </c>
      <c r="B765" t="s">
        <v>219</v>
      </c>
      <c r="C765" t="s">
        <v>136</v>
      </c>
      <c r="D765" t="s">
        <v>869</v>
      </c>
      <c r="E765" t="s">
        <v>38</v>
      </c>
      <c r="F765" t="s">
        <v>39</v>
      </c>
      <c r="G765">
        <v>40</v>
      </c>
      <c r="H765" t="s">
        <v>280</v>
      </c>
      <c r="I765" t="s">
        <v>221</v>
      </c>
      <c r="J765">
        <v>779618</v>
      </c>
      <c r="K765" t="s">
        <v>32</v>
      </c>
      <c r="L765" s="1">
        <v>42394.847916666666</v>
      </c>
      <c r="M765" s="1">
        <v>42394</v>
      </c>
      <c r="N765" s="3">
        <f>INT(BrightTV_JoinedTablesnw_2026_04_16_23_55_09[[#This Row],[Viewership.RecordDate22]])</f>
        <v>42394</v>
      </c>
      <c r="O765" s="2">
        <v>0.84791666666666665</v>
      </c>
      <c r="P765" t="s">
        <v>287</v>
      </c>
      <c r="Q765">
        <v>779618</v>
      </c>
      <c r="R765" t="s">
        <v>20</v>
      </c>
    </row>
    <row r="766" spans="1:18" x14ac:dyDescent="0.25">
      <c r="A766">
        <v>779642</v>
      </c>
      <c r="B766" t="s">
        <v>484</v>
      </c>
      <c r="C766" t="s">
        <v>193</v>
      </c>
      <c r="D766" t="s">
        <v>608</v>
      </c>
      <c r="E766" t="s">
        <v>38</v>
      </c>
      <c r="F766" t="s">
        <v>39</v>
      </c>
      <c r="G766">
        <v>42</v>
      </c>
      <c r="H766" t="s">
        <v>40</v>
      </c>
      <c r="I766" t="s">
        <v>486</v>
      </c>
      <c r="J766">
        <v>779642</v>
      </c>
      <c r="K766" t="s">
        <v>47</v>
      </c>
      <c r="L766" s="1">
        <v>42394.975694444445</v>
      </c>
      <c r="M766" s="1">
        <v>42394</v>
      </c>
      <c r="N766" s="3">
        <f>INT(BrightTV_JoinedTablesnw_2026_04_16_23_55_09[[#This Row],[Viewership.RecordDate22]])</f>
        <v>42394</v>
      </c>
      <c r="O766" s="2">
        <v>0.97569444444444442</v>
      </c>
      <c r="P766" t="s">
        <v>321</v>
      </c>
      <c r="Q766">
        <v>779642</v>
      </c>
      <c r="R766" t="s">
        <v>20</v>
      </c>
    </row>
    <row r="767" spans="1:18" x14ac:dyDescent="0.25">
      <c r="A767">
        <v>779642</v>
      </c>
      <c r="B767" t="s">
        <v>484</v>
      </c>
      <c r="C767" t="s">
        <v>193</v>
      </c>
      <c r="D767" t="s">
        <v>608</v>
      </c>
      <c r="E767" t="s">
        <v>38</v>
      </c>
      <c r="F767" t="s">
        <v>39</v>
      </c>
      <c r="G767">
        <v>42</v>
      </c>
      <c r="H767" t="s">
        <v>40</v>
      </c>
      <c r="I767" t="s">
        <v>486</v>
      </c>
      <c r="J767">
        <v>779642</v>
      </c>
      <c r="K767" t="s">
        <v>32</v>
      </c>
      <c r="L767" s="1">
        <v>42390.970138888886</v>
      </c>
      <c r="M767" s="1">
        <v>42390</v>
      </c>
      <c r="N767" s="3">
        <f>INT(BrightTV_JoinedTablesnw_2026_04_16_23_55_09[[#This Row],[Viewership.RecordDate22]])</f>
        <v>42390</v>
      </c>
      <c r="O767" s="2">
        <v>0.97013888888888888</v>
      </c>
      <c r="P767" t="s">
        <v>583</v>
      </c>
      <c r="Q767">
        <v>779642</v>
      </c>
      <c r="R767" t="s">
        <v>20</v>
      </c>
    </row>
    <row r="768" spans="1:18" x14ac:dyDescent="0.25">
      <c r="A768">
        <v>779642</v>
      </c>
      <c r="B768" t="s">
        <v>484</v>
      </c>
      <c r="C768" t="s">
        <v>193</v>
      </c>
      <c r="D768" t="s">
        <v>608</v>
      </c>
      <c r="E768" t="s">
        <v>38</v>
      </c>
      <c r="F768" t="s">
        <v>39</v>
      </c>
      <c r="G768">
        <v>42</v>
      </c>
      <c r="H768" t="s">
        <v>40</v>
      </c>
      <c r="I768" t="s">
        <v>486</v>
      </c>
      <c r="J768">
        <v>779642</v>
      </c>
      <c r="K768" t="s">
        <v>32</v>
      </c>
      <c r="L768" s="1">
        <v>42396.993055555555</v>
      </c>
      <c r="M768" s="1">
        <v>42396</v>
      </c>
      <c r="N768" s="3">
        <f>INT(BrightTV_JoinedTablesnw_2026_04_16_23_55_09[[#This Row],[Viewership.RecordDate22]])</f>
        <v>42396</v>
      </c>
      <c r="O768" s="2">
        <v>0.99305555555555558</v>
      </c>
      <c r="P768" t="s">
        <v>287</v>
      </c>
      <c r="Q768">
        <v>779642</v>
      </c>
      <c r="R768" t="s">
        <v>20</v>
      </c>
    </row>
    <row r="769" spans="1:18" x14ac:dyDescent="0.25">
      <c r="A769">
        <v>779642</v>
      </c>
      <c r="B769" t="s">
        <v>484</v>
      </c>
      <c r="C769" t="s">
        <v>193</v>
      </c>
      <c r="D769" t="s">
        <v>608</v>
      </c>
      <c r="E769" t="s">
        <v>38</v>
      </c>
      <c r="F769" t="s">
        <v>39</v>
      </c>
      <c r="G769">
        <v>42</v>
      </c>
      <c r="H769" t="s">
        <v>40</v>
      </c>
      <c r="I769" t="s">
        <v>486</v>
      </c>
      <c r="J769">
        <v>779642</v>
      </c>
      <c r="K769" t="s">
        <v>32</v>
      </c>
      <c r="L769" s="1">
        <v>42391.751388888886</v>
      </c>
      <c r="M769" s="1">
        <v>42391</v>
      </c>
      <c r="N769" s="3">
        <f>INT(BrightTV_JoinedTablesnw_2026_04_16_23_55_09[[#This Row],[Viewership.RecordDate22]])</f>
        <v>42391</v>
      </c>
      <c r="O769" s="2">
        <v>0.75138888888888888</v>
      </c>
      <c r="P769" t="s">
        <v>211</v>
      </c>
      <c r="Q769">
        <v>779642</v>
      </c>
      <c r="R769" t="s">
        <v>20</v>
      </c>
    </row>
    <row r="770" spans="1:18" x14ac:dyDescent="0.25">
      <c r="A770">
        <v>779656</v>
      </c>
      <c r="B770" t="s">
        <v>938</v>
      </c>
      <c r="C770" t="s">
        <v>238</v>
      </c>
      <c r="D770" t="s">
        <v>939</v>
      </c>
      <c r="E770" t="s">
        <v>24</v>
      </c>
      <c r="F770" t="s">
        <v>39</v>
      </c>
      <c r="G770">
        <v>29</v>
      </c>
      <c r="H770" t="s">
        <v>40</v>
      </c>
      <c r="I770" t="s">
        <v>940</v>
      </c>
      <c r="J770">
        <v>779656</v>
      </c>
      <c r="K770" t="s">
        <v>77</v>
      </c>
      <c r="L770" s="1">
        <v>42384.414583333331</v>
      </c>
      <c r="M770" s="1">
        <v>42384</v>
      </c>
      <c r="N770" s="3">
        <f>INT(BrightTV_JoinedTablesnw_2026_04_16_23_55_09[[#This Row],[Viewership.RecordDate22]])</f>
        <v>42384</v>
      </c>
      <c r="O770" s="2">
        <v>0.41458333333333336</v>
      </c>
      <c r="P770" t="s">
        <v>941</v>
      </c>
      <c r="Q770">
        <v>779656</v>
      </c>
      <c r="R770" t="s">
        <v>20</v>
      </c>
    </row>
    <row r="771" spans="1:18" x14ac:dyDescent="0.25">
      <c r="A771">
        <v>779656</v>
      </c>
      <c r="B771" t="s">
        <v>938</v>
      </c>
      <c r="C771" t="s">
        <v>238</v>
      </c>
      <c r="D771" t="s">
        <v>939</v>
      </c>
      <c r="E771" t="s">
        <v>24</v>
      </c>
      <c r="F771" t="s">
        <v>39</v>
      </c>
      <c r="G771">
        <v>29</v>
      </c>
      <c r="H771" t="s">
        <v>40</v>
      </c>
      <c r="I771" t="s">
        <v>940</v>
      </c>
      <c r="J771">
        <v>779656</v>
      </c>
      <c r="K771" t="s">
        <v>129</v>
      </c>
      <c r="L771" s="1">
        <v>42393.772222222222</v>
      </c>
      <c r="M771" s="1">
        <v>42393</v>
      </c>
      <c r="N771" s="3">
        <f>INT(BrightTV_JoinedTablesnw_2026_04_16_23_55_09[[#This Row],[Viewership.RecordDate22]])</f>
        <v>42393</v>
      </c>
      <c r="O771" s="2">
        <v>0.77222222222222225</v>
      </c>
      <c r="P771" t="s">
        <v>64</v>
      </c>
      <c r="Q771">
        <v>779656</v>
      </c>
      <c r="R771" t="s">
        <v>20</v>
      </c>
    </row>
    <row r="772" spans="1:18" x14ac:dyDescent="0.25">
      <c r="A772">
        <v>779656</v>
      </c>
      <c r="B772" t="s">
        <v>938</v>
      </c>
      <c r="C772" t="s">
        <v>238</v>
      </c>
      <c r="D772" t="s">
        <v>939</v>
      </c>
      <c r="E772" t="s">
        <v>24</v>
      </c>
      <c r="F772" t="s">
        <v>39</v>
      </c>
      <c r="G772">
        <v>29</v>
      </c>
      <c r="H772" t="s">
        <v>40</v>
      </c>
      <c r="I772" t="s">
        <v>940</v>
      </c>
      <c r="J772">
        <v>779656</v>
      </c>
      <c r="K772" t="s">
        <v>129</v>
      </c>
      <c r="L772" s="1">
        <v>42393.923611111109</v>
      </c>
      <c r="M772" s="1">
        <v>42393</v>
      </c>
      <c r="N772" s="3">
        <f>INT(BrightTV_JoinedTablesnw_2026_04_16_23_55_09[[#This Row],[Viewership.RecordDate22]])</f>
        <v>42393</v>
      </c>
      <c r="O772" s="2">
        <v>0.92361111111111116</v>
      </c>
      <c r="P772" t="s">
        <v>64</v>
      </c>
      <c r="Q772">
        <v>779656</v>
      </c>
      <c r="R772" t="s">
        <v>20</v>
      </c>
    </row>
    <row r="773" spans="1:18" x14ac:dyDescent="0.25">
      <c r="A773">
        <v>779656</v>
      </c>
      <c r="B773" t="s">
        <v>938</v>
      </c>
      <c r="C773" t="s">
        <v>238</v>
      </c>
      <c r="D773" t="s">
        <v>939</v>
      </c>
      <c r="E773" t="s">
        <v>24</v>
      </c>
      <c r="F773" t="s">
        <v>39</v>
      </c>
      <c r="G773">
        <v>29</v>
      </c>
      <c r="H773" t="s">
        <v>40</v>
      </c>
      <c r="I773" t="s">
        <v>940</v>
      </c>
      <c r="J773">
        <v>779656</v>
      </c>
      <c r="K773" t="s">
        <v>129</v>
      </c>
      <c r="L773" s="1">
        <v>42409.898611111108</v>
      </c>
      <c r="M773" s="1">
        <v>42409</v>
      </c>
      <c r="N773" s="3">
        <f>INT(BrightTV_JoinedTablesnw_2026_04_16_23_55_09[[#This Row],[Viewership.RecordDate22]])</f>
        <v>42409</v>
      </c>
      <c r="O773" s="2">
        <v>0.89861111111111114</v>
      </c>
      <c r="P773" t="s">
        <v>64</v>
      </c>
      <c r="Q773">
        <v>779656</v>
      </c>
      <c r="R773" t="s">
        <v>20</v>
      </c>
    </row>
    <row r="774" spans="1:18" x14ac:dyDescent="0.25">
      <c r="A774">
        <v>779656</v>
      </c>
      <c r="B774" t="s">
        <v>938</v>
      </c>
      <c r="C774" t="s">
        <v>238</v>
      </c>
      <c r="D774" t="s">
        <v>939</v>
      </c>
      <c r="E774" t="s">
        <v>24</v>
      </c>
      <c r="F774" t="s">
        <v>39</v>
      </c>
      <c r="G774">
        <v>29</v>
      </c>
      <c r="H774" t="s">
        <v>40</v>
      </c>
      <c r="I774" t="s">
        <v>940</v>
      </c>
      <c r="J774">
        <v>779656</v>
      </c>
      <c r="K774" t="s">
        <v>129</v>
      </c>
      <c r="L774" s="1">
        <v>42408.910416666666</v>
      </c>
      <c r="M774" s="1">
        <v>42408</v>
      </c>
      <c r="N774" s="3">
        <f>INT(BrightTV_JoinedTablesnw_2026_04_16_23_55_09[[#This Row],[Viewership.RecordDate22]])</f>
        <v>42408</v>
      </c>
      <c r="O774" s="2">
        <v>0.91041666666666665</v>
      </c>
      <c r="P774" t="s">
        <v>64</v>
      </c>
      <c r="Q774">
        <v>779656</v>
      </c>
      <c r="R774" t="s">
        <v>20</v>
      </c>
    </row>
    <row r="775" spans="1:18" x14ac:dyDescent="0.25">
      <c r="A775">
        <v>779656</v>
      </c>
      <c r="B775" t="s">
        <v>938</v>
      </c>
      <c r="C775" t="s">
        <v>238</v>
      </c>
      <c r="D775" t="s">
        <v>939</v>
      </c>
      <c r="E775" t="s">
        <v>24</v>
      </c>
      <c r="F775" t="s">
        <v>39</v>
      </c>
      <c r="G775">
        <v>29</v>
      </c>
      <c r="H775" t="s">
        <v>40</v>
      </c>
      <c r="I775" t="s">
        <v>940</v>
      </c>
      <c r="J775">
        <v>779656</v>
      </c>
      <c r="K775" t="s">
        <v>129</v>
      </c>
      <c r="L775" s="1">
        <v>42408.852777777778</v>
      </c>
      <c r="M775" s="1">
        <v>42408</v>
      </c>
      <c r="N775" s="3">
        <f>INT(BrightTV_JoinedTablesnw_2026_04_16_23_55_09[[#This Row],[Viewership.RecordDate22]])</f>
        <v>42408</v>
      </c>
      <c r="O775" s="2">
        <v>0.85277777777777775</v>
      </c>
      <c r="P775" t="s">
        <v>942</v>
      </c>
      <c r="Q775">
        <v>779656</v>
      </c>
      <c r="R775" t="s">
        <v>20</v>
      </c>
    </row>
    <row r="776" spans="1:18" x14ac:dyDescent="0.25">
      <c r="A776">
        <v>791470</v>
      </c>
      <c r="B776" t="s">
        <v>943</v>
      </c>
      <c r="C776" t="s">
        <v>224</v>
      </c>
      <c r="D776" t="s">
        <v>944</v>
      </c>
      <c r="E776" t="s">
        <v>24</v>
      </c>
      <c r="F776" t="s">
        <v>96</v>
      </c>
      <c r="G776">
        <v>24</v>
      </c>
      <c r="H776" t="s">
        <v>40</v>
      </c>
      <c r="I776" t="s">
        <v>945</v>
      </c>
      <c r="J776">
        <v>791470</v>
      </c>
      <c r="K776" t="s">
        <v>62</v>
      </c>
      <c r="L776" s="1">
        <v>42414.714583333334</v>
      </c>
      <c r="M776" s="1">
        <v>42414</v>
      </c>
      <c r="N776" s="3">
        <f>INT(BrightTV_JoinedTablesnw_2026_04_16_23_55_09[[#This Row],[Viewership.RecordDate22]])</f>
        <v>42414</v>
      </c>
      <c r="O776" s="2">
        <v>0.71458333333333335</v>
      </c>
      <c r="P776" t="s">
        <v>447</v>
      </c>
      <c r="Q776">
        <v>791470</v>
      </c>
      <c r="R776" t="s">
        <v>20</v>
      </c>
    </row>
    <row r="777" spans="1:18" x14ac:dyDescent="0.25">
      <c r="A777">
        <v>809148</v>
      </c>
      <c r="B777" t="s">
        <v>437</v>
      </c>
      <c r="C777" t="s">
        <v>36</v>
      </c>
      <c r="D777" t="s">
        <v>867</v>
      </c>
      <c r="E777" t="s">
        <v>38</v>
      </c>
      <c r="F777" t="s">
        <v>106</v>
      </c>
      <c r="G777">
        <v>35</v>
      </c>
      <c r="H777" t="s">
        <v>138</v>
      </c>
      <c r="I777" t="s">
        <v>439</v>
      </c>
      <c r="J777">
        <v>809148</v>
      </c>
      <c r="K777" t="s">
        <v>18</v>
      </c>
      <c r="L777" s="1">
        <v>42442.636805555558</v>
      </c>
      <c r="M777" s="1">
        <v>42442</v>
      </c>
      <c r="N777" s="3">
        <f>INT(BrightTV_JoinedTablesnw_2026_04_16_23_55_09[[#This Row],[Viewership.RecordDate22]])</f>
        <v>42442</v>
      </c>
      <c r="O777" s="2">
        <v>0.63680555555555551</v>
      </c>
      <c r="P777" t="s">
        <v>946</v>
      </c>
      <c r="Q777">
        <v>809148</v>
      </c>
      <c r="R777" t="s">
        <v>20</v>
      </c>
    </row>
    <row r="778" spans="1:18" x14ac:dyDescent="0.25">
      <c r="A778">
        <v>809148</v>
      </c>
      <c r="B778" t="s">
        <v>437</v>
      </c>
      <c r="C778" t="s">
        <v>36</v>
      </c>
      <c r="D778" t="s">
        <v>867</v>
      </c>
      <c r="E778" t="s">
        <v>38</v>
      </c>
      <c r="F778" t="s">
        <v>106</v>
      </c>
      <c r="G778">
        <v>35</v>
      </c>
      <c r="H778" t="s">
        <v>138</v>
      </c>
      <c r="I778" t="s">
        <v>439</v>
      </c>
      <c r="J778">
        <v>809148</v>
      </c>
      <c r="K778" t="s">
        <v>77</v>
      </c>
      <c r="L778" s="1">
        <v>42421.027777777781</v>
      </c>
      <c r="M778" s="1">
        <v>42421</v>
      </c>
      <c r="N778" s="3">
        <f>INT(BrightTV_JoinedTablesnw_2026_04_16_23_55_09[[#This Row],[Viewership.RecordDate22]])</f>
        <v>42421</v>
      </c>
      <c r="O778" s="2">
        <v>2.7777777777777776E-2</v>
      </c>
      <c r="P778" t="s">
        <v>108</v>
      </c>
      <c r="Q778">
        <v>809148</v>
      </c>
      <c r="R778" t="s">
        <v>20</v>
      </c>
    </row>
    <row r="779" spans="1:18" x14ac:dyDescent="0.25">
      <c r="A779">
        <v>809148</v>
      </c>
      <c r="B779" t="s">
        <v>437</v>
      </c>
      <c r="C779" t="s">
        <v>36</v>
      </c>
      <c r="D779" t="s">
        <v>867</v>
      </c>
      <c r="E779" t="s">
        <v>38</v>
      </c>
      <c r="F779" t="s">
        <v>106</v>
      </c>
      <c r="G779">
        <v>35</v>
      </c>
      <c r="H779" t="s">
        <v>138</v>
      </c>
      <c r="I779" t="s">
        <v>439</v>
      </c>
      <c r="J779">
        <v>809148</v>
      </c>
      <c r="K779" t="s">
        <v>18</v>
      </c>
      <c r="L779" s="1">
        <v>42427.527777777781</v>
      </c>
      <c r="M779" s="1">
        <v>42427</v>
      </c>
      <c r="N779" s="3">
        <f>INT(BrightTV_JoinedTablesnw_2026_04_16_23_55_09[[#This Row],[Viewership.RecordDate22]])</f>
        <v>42427</v>
      </c>
      <c r="O779" s="2">
        <v>0.52777777777777779</v>
      </c>
      <c r="P779" t="s">
        <v>947</v>
      </c>
      <c r="Q779">
        <v>809148</v>
      </c>
      <c r="R779" t="s">
        <v>20</v>
      </c>
    </row>
    <row r="780" spans="1:18" x14ac:dyDescent="0.25">
      <c r="A780">
        <v>802478</v>
      </c>
      <c r="B780" t="s">
        <v>122</v>
      </c>
      <c r="C780" t="s">
        <v>543</v>
      </c>
      <c r="D780" t="s">
        <v>124</v>
      </c>
      <c r="E780" t="s">
        <v>38</v>
      </c>
      <c r="F780" t="s">
        <v>25</v>
      </c>
      <c r="G780">
        <v>24</v>
      </c>
      <c r="H780" t="s">
        <v>60</v>
      </c>
      <c r="I780" t="s">
        <v>125</v>
      </c>
      <c r="J780">
        <v>802478</v>
      </c>
      <c r="K780" t="s">
        <v>54</v>
      </c>
      <c r="L780" s="1">
        <v>42452.609027777777</v>
      </c>
      <c r="M780" s="1">
        <v>42452</v>
      </c>
      <c r="N780" s="3">
        <f>INT(BrightTV_JoinedTablesnw_2026_04_16_23_55_09[[#This Row],[Viewership.RecordDate22]])</f>
        <v>42452</v>
      </c>
      <c r="O780" s="2">
        <v>0.60902777777777772</v>
      </c>
      <c r="P780" t="s">
        <v>738</v>
      </c>
      <c r="Q780">
        <v>802478</v>
      </c>
      <c r="R780" t="s">
        <v>20</v>
      </c>
    </row>
    <row r="781" spans="1:18" x14ac:dyDescent="0.25">
      <c r="A781">
        <v>802478</v>
      </c>
      <c r="B781" t="s">
        <v>122</v>
      </c>
      <c r="C781" t="s">
        <v>543</v>
      </c>
      <c r="D781" t="s">
        <v>124</v>
      </c>
      <c r="E781" t="s">
        <v>38</v>
      </c>
      <c r="F781" t="s">
        <v>25</v>
      </c>
      <c r="G781">
        <v>24</v>
      </c>
      <c r="H781" t="s">
        <v>60</v>
      </c>
      <c r="I781" t="s">
        <v>125</v>
      </c>
      <c r="J781">
        <v>802478</v>
      </c>
      <c r="K781" t="s">
        <v>28</v>
      </c>
      <c r="L781" s="1">
        <v>42450.570138888892</v>
      </c>
      <c r="M781" s="1">
        <v>42450</v>
      </c>
      <c r="N781" s="3">
        <f>INT(BrightTV_JoinedTablesnw_2026_04_16_23_55_09[[#This Row],[Viewership.RecordDate22]])</f>
        <v>42450</v>
      </c>
      <c r="O781" s="2">
        <v>0.57013888888888886</v>
      </c>
      <c r="P781" t="s">
        <v>353</v>
      </c>
      <c r="Q781">
        <v>802478</v>
      </c>
      <c r="R781" t="s">
        <v>20</v>
      </c>
    </row>
    <row r="782" spans="1:18" x14ac:dyDescent="0.25">
      <c r="A782">
        <v>809151</v>
      </c>
      <c r="B782" t="s">
        <v>292</v>
      </c>
      <c r="C782" t="s">
        <v>81</v>
      </c>
      <c r="D782" t="s">
        <v>948</v>
      </c>
      <c r="E782" t="s">
        <v>38</v>
      </c>
      <c r="F782" t="s">
        <v>96</v>
      </c>
      <c r="G782">
        <v>27</v>
      </c>
      <c r="H782" t="s">
        <v>60</v>
      </c>
      <c r="I782" t="s">
        <v>295</v>
      </c>
      <c r="J782">
        <v>809151</v>
      </c>
      <c r="K782" t="s">
        <v>18</v>
      </c>
      <c r="L782" s="1">
        <v>42419.717361111114</v>
      </c>
      <c r="M782" s="1">
        <v>42419</v>
      </c>
      <c r="N782" s="3">
        <f>INT(BrightTV_JoinedTablesnw_2026_04_16_23_55_09[[#This Row],[Viewership.RecordDate22]])</f>
        <v>42419</v>
      </c>
      <c r="O782" s="2">
        <v>0.71736111111111112</v>
      </c>
      <c r="P782" t="s">
        <v>206</v>
      </c>
      <c r="Q782">
        <v>809151</v>
      </c>
      <c r="R782" t="s">
        <v>20</v>
      </c>
    </row>
    <row r="783" spans="1:18" x14ac:dyDescent="0.25">
      <c r="A783">
        <v>809151</v>
      </c>
      <c r="B783" t="s">
        <v>292</v>
      </c>
      <c r="C783" t="s">
        <v>81</v>
      </c>
      <c r="D783" t="s">
        <v>948</v>
      </c>
      <c r="E783" t="s">
        <v>38</v>
      </c>
      <c r="F783" t="s">
        <v>96</v>
      </c>
      <c r="G783">
        <v>27</v>
      </c>
      <c r="H783" t="s">
        <v>60</v>
      </c>
      <c r="I783" t="s">
        <v>295</v>
      </c>
      <c r="J783">
        <v>809151</v>
      </c>
      <c r="K783" t="s">
        <v>496</v>
      </c>
      <c r="L783" s="1">
        <v>42418.445138888892</v>
      </c>
      <c r="M783" s="1">
        <v>42418</v>
      </c>
      <c r="N783" s="3">
        <f>INT(BrightTV_JoinedTablesnw_2026_04_16_23_55_09[[#This Row],[Viewership.RecordDate22]])</f>
        <v>42418</v>
      </c>
      <c r="O783" s="2">
        <v>0.44513888888888886</v>
      </c>
      <c r="P783" t="s">
        <v>145</v>
      </c>
      <c r="Q783">
        <v>809151</v>
      </c>
      <c r="R783" t="s">
        <v>20</v>
      </c>
    </row>
    <row r="784" spans="1:18" x14ac:dyDescent="0.25">
      <c r="A784">
        <v>809152</v>
      </c>
      <c r="B784" t="s">
        <v>622</v>
      </c>
      <c r="C784" t="s">
        <v>50</v>
      </c>
      <c r="D784" t="s">
        <v>793</v>
      </c>
      <c r="E784" t="s">
        <v>38</v>
      </c>
      <c r="F784" t="s">
        <v>39</v>
      </c>
      <c r="G784">
        <v>25</v>
      </c>
      <c r="H784" t="s">
        <v>40</v>
      </c>
      <c r="I784" t="s">
        <v>624</v>
      </c>
      <c r="J784">
        <v>809152</v>
      </c>
      <c r="K784" t="s">
        <v>84</v>
      </c>
      <c r="L784" s="1">
        <v>42442.697916666664</v>
      </c>
      <c r="M784" s="1">
        <v>42442</v>
      </c>
      <c r="N784" s="3">
        <f>INT(BrightTV_JoinedTablesnw_2026_04_16_23_55_09[[#This Row],[Viewership.RecordDate22]])</f>
        <v>42442</v>
      </c>
      <c r="O784" s="2">
        <v>0.69791666666666663</v>
      </c>
      <c r="P784" t="s">
        <v>949</v>
      </c>
      <c r="Q784">
        <v>809152</v>
      </c>
      <c r="R784" t="s">
        <v>20</v>
      </c>
    </row>
    <row r="785" spans="1:18" x14ac:dyDescent="0.25">
      <c r="A785">
        <v>809152</v>
      </c>
      <c r="B785" t="s">
        <v>622</v>
      </c>
      <c r="C785" t="s">
        <v>50</v>
      </c>
      <c r="D785" t="s">
        <v>793</v>
      </c>
      <c r="E785" t="s">
        <v>38</v>
      </c>
      <c r="F785" t="s">
        <v>39</v>
      </c>
      <c r="G785">
        <v>25</v>
      </c>
      <c r="H785" t="s">
        <v>40</v>
      </c>
      <c r="I785" t="s">
        <v>624</v>
      </c>
      <c r="J785">
        <v>809152</v>
      </c>
      <c r="K785" t="s">
        <v>32</v>
      </c>
      <c r="L785" s="1">
        <v>42448.319444444445</v>
      </c>
      <c r="M785" s="1">
        <v>42448</v>
      </c>
      <c r="N785" s="3">
        <f>INT(BrightTV_JoinedTablesnw_2026_04_16_23_55_09[[#This Row],[Viewership.RecordDate22]])</f>
        <v>42448</v>
      </c>
      <c r="O785" s="2">
        <v>0.31944444444444442</v>
      </c>
      <c r="P785" t="s">
        <v>887</v>
      </c>
      <c r="Q785">
        <v>809152</v>
      </c>
      <c r="R785" t="s">
        <v>20</v>
      </c>
    </row>
    <row r="786" spans="1:18" x14ac:dyDescent="0.25">
      <c r="A786">
        <v>809152</v>
      </c>
      <c r="B786" t="s">
        <v>622</v>
      </c>
      <c r="C786" t="s">
        <v>50</v>
      </c>
      <c r="D786" t="s">
        <v>793</v>
      </c>
      <c r="E786" t="s">
        <v>38</v>
      </c>
      <c r="F786" t="s">
        <v>39</v>
      </c>
      <c r="G786">
        <v>25</v>
      </c>
      <c r="H786" t="s">
        <v>40</v>
      </c>
      <c r="I786" t="s">
        <v>624</v>
      </c>
      <c r="J786">
        <v>809152</v>
      </c>
      <c r="K786" t="s">
        <v>32</v>
      </c>
      <c r="L786" s="1">
        <v>42444.498611111114</v>
      </c>
      <c r="M786" s="1">
        <v>42444</v>
      </c>
      <c r="N786" s="3">
        <f>INT(BrightTV_JoinedTablesnw_2026_04_16_23_55_09[[#This Row],[Viewership.RecordDate22]])</f>
        <v>42444</v>
      </c>
      <c r="O786" s="2">
        <v>0.49861111111111112</v>
      </c>
      <c r="P786" t="s">
        <v>401</v>
      </c>
      <c r="Q786">
        <v>809152</v>
      </c>
      <c r="R786" t="s">
        <v>20</v>
      </c>
    </row>
    <row r="787" spans="1:18" x14ac:dyDescent="0.25">
      <c r="A787">
        <v>809152</v>
      </c>
      <c r="B787" t="s">
        <v>622</v>
      </c>
      <c r="C787" t="s">
        <v>50</v>
      </c>
      <c r="D787" t="s">
        <v>793</v>
      </c>
      <c r="E787" t="s">
        <v>38</v>
      </c>
      <c r="F787" t="s">
        <v>39</v>
      </c>
      <c r="G787">
        <v>25</v>
      </c>
      <c r="H787" t="s">
        <v>40</v>
      </c>
      <c r="I787" t="s">
        <v>624</v>
      </c>
      <c r="J787">
        <v>809152</v>
      </c>
      <c r="K787" t="s">
        <v>32</v>
      </c>
      <c r="L787" s="1">
        <v>42456.629861111112</v>
      </c>
      <c r="M787" s="1">
        <v>42456</v>
      </c>
      <c r="N787" s="3">
        <f>INT(BrightTV_JoinedTablesnw_2026_04_16_23_55_09[[#This Row],[Viewership.RecordDate22]])</f>
        <v>42456</v>
      </c>
      <c r="O787" s="2">
        <v>0.62986111111111109</v>
      </c>
      <c r="P787" t="s">
        <v>950</v>
      </c>
      <c r="Q787">
        <v>809152</v>
      </c>
      <c r="R787" t="s">
        <v>20</v>
      </c>
    </row>
    <row r="788" spans="1:18" x14ac:dyDescent="0.25">
      <c r="A788">
        <v>786241</v>
      </c>
      <c r="B788" t="s">
        <v>237</v>
      </c>
      <c r="C788" t="s">
        <v>44</v>
      </c>
      <c r="D788" t="s">
        <v>261</v>
      </c>
      <c r="E788" t="s">
        <v>38</v>
      </c>
      <c r="F788" t="s">
        <v>39</v>
      </c>
      <c r="G788">
        <v>48</v>
      </c>
      <c r="H788" t="s">
        <v>40</v>
      </c>
      <c r="I788" t="s">
        <v>240</v>
      </c>
      <c r="J788">
        <v>786241</v>
      </c>
      <c r="K788" t="s">
        <v>32</v>
      </c>
      <c r="L788" s="1">
        <v>42411.907638888886</v>
      </c>
      <c r="M788" s="1">
        <v>42411</v>
      </c>
      <c r="N788" s="3">
        <f>INT(BrightTV_JoinedTablesnw_2026_04_16_23_55_09[[#This Row],[Viewership.RecordDate22]])</f>
        <v>42411</v>
      </c>
      <c r="O788" s="2">
        <v>0.90763888888888888</v>
      </c>
      <c r="P788" t="s">
        <v>275</v>
      </c>
      <c r="Q788">
        <v>786241</v>
      </c>
      <c r="R788" t="s">
        <v>20</v>
      </c>
    </row>
    <row r="789" spans="1:18" x14ac:dyDescent="0.25">
      <c r="A789">
        <v>809156</v>
      </c>
      <c r="B789" t="s">
        <v>122</v>
      </c>
      <c r="C789" t="s">
        <v>305</v>
      </c>
      <c r="D789" t="s">
        <v>435</v>
      </c>
      <c r="E789" t="s">
        <v>38</v>
      </c>
      <c r="F789" t="s">
        <v>39</v>
      </c>
      <c r="G789">
        <v>25</v>
      </c>
      <c r="H789" t="s">
        <v>75</v>
      </c>
      <c r="I789" t="s">
        <v>125</v>
      </c>
      <c r="J789">
        <v>809156</v>
      </c>
      <c r="K789" t="s">
        <v>84</v>
      </c>
      <c r="L789" s="1">
        <v>42431.825694444444</v>
      </c>
      <c r="M789" s="1">
        <v>42431</v>
      </c>
      <c r="N789" s="3">
        <f>INT(BrightTV_JoinedTablesnw_2026_04_16_23_55_09[[#This Row],[Viewership.RecordDate22]])</f>
        <v>42431</v>
      </c>
      <c r="O789" s="2">
        <v>0.8256944444444444</v>
      </c>
      <c r="P789" t="s">
        <v>31</v>
      </c>
      <c r="Q789">
        <v>809156</v>
      </c>
      <c r="R789" t="s">
        <v>20</v>
      </c>
    </row>
    <row r="790" spans="1:18" x14ac:dyDescent="0.25">
      <c r="A790">
        <v>809156</v>
      </c>
      <c r="B790" t="s">
        <v>122</v>
      </c>
      <c r="C790" t="s">
        <v>305</v>
      </c>
      <c r="D790" t="s">
        <v>435</v>
      </c>
      <c r="E790" t="s">
        <v>38</v>
      </c>
      <c r="F790" t="s">
        <v>39</v>
      </c>
      <c r="G790">
        <v>25</v>
      </c>
      <c r="H790" t="s">
        <v>75</v>
      </c>
      <c r="I790" t="s">
        <v>125</v>
      </c>
      <c r="J790">
        <v>809156</v>
      </c>
      <c r="K790" t="s">
        <v>77</v>
      </c>
      <c r="L790" s="1">
        <v>42413.222916666666</v>
      </c>
      <c r="M790" s="1">
        <v>42413</v>
      </c>
      <c r="N790" s="3">
        <f>INT(BrightTV_JoinedTablesnw_2026_04_16_23_55_09[[#This Row],[Viewership.RecordDate22]])</f>
        <v>42413</v>
      </c>
      <c r="O790" s="2">
        <v>0.22291666666666668</v>
      </c>
      <c r="P790" t="s">
        <v>951</v>
      </c>
      <c r="Q790">
        <v>809156</v>
      </c>
      <c r="R790" t="s">
        <v>20</v>
      </c>
    </row>
    <row r="791" spans="1:18" x14ac:dyDescent="0.25">
      <c r="A791">
        <v>809158</v>
      </c>
      <c r="B791" t="s">
        <v>267</v>
      </c>
      <c r="C791" t="s">
        <v>104</v>
      </c>
      <c r="D791" t="s">
        <v>952</v>
      </c>
      <c r="E791" t="s">
        <v>38</v>
      </c>
      <c r="F791" t="s">
        <v>106</v>
      </c>
      <c r="G791">
        <v>28</v>
      </c>
      <c r="H791" t="s">
        <v>40</v>
      </c>
      <c r="I791" t="s">
        <v>269</v>
      </c>
      <c r="J791">
        <v>809158</v>
      </c>
      <c r="K791" t="s">
        <v>18</v>
      </c>
      <c r="L791" s="1">
        <v>42421.543055555558</v>
      </c>
      <c r="M791" s="1">
        <v>42421</v>
      </c>
      <c r="N791" s="3">
        <f>INT(BrightTV_JoinedTablesnw_2026_04_16_23_55_09[[#This Row],[Viewership.RecordDate22]])</f>
        <v>42421</v>
      </c>
      <c r="O791" s="2">
        <v>0.54305555555555551</v>
      </c>
      <c r="P791" t="s">
        <v>953</v>
      </c>
      <c r="Q791">
        <v>809158</v>
      </c>
      <c r="R791" t="s">
        <v>20</v>
      </c>
    </row>
    <row r="792" spans="1:18" x14ac:dyDescent="0.25">
      <c r="A792">
        <v>809158</v>
      </c>
      <c r="B792" t="s">
        <v>267</v>
      </c>
      <c r="C792" t="s">
        <v>104</v>
      </c>
      <c r="D792" t="s">
        <v>952</v>
      </c>
      <c r="E792" t="s">
        <v>38</v>
      </c>
      <c r="F792" t="s">
        <v>106</v>
      </c>
      <c r="G792">
        <v>28</v>
      </c>
      <c r="H792" t="s">
        <v>40</v>
      </c>
      <c r="I792" t="s">
        <v>269</v>
      </c>
      <c r="J792">
        <v>809158</v>
      </c>
      <c r="K792" t="s">
        <v>18</v>
      </c>
      <c r="L792" s="1">
        <v>42431.697916666664</v>
      </c>
      <c r="M792" s="1">
        <v>42431</v>
      </c>
      <c r="N792" s="3">
        <f>INT(BrightTV_JoinedTablesnw_2026_04_16_23_55_09[[#This Row],[Viewership.RecordDate22]])</f>
        <v>42431</v>
      </c>
      <c r="O792" s="2">
        <v>0.69791666666666663</v>
      </c>
      <c r="P792" t="s">
        <v>954</v>
      </c>
      <c r="Q792">
        <v>809158</v>
      </c>
      <c r="R792" t="s">
        <v>20</v>
      </c>
    </row>
    <row r="793" spans="1:18" x14ac:dyDescent="0.25">
      <c r="A793">
        <v>809158</v>
      </c>
      <c r="B793" t="s">
        <v>267</v>
      </c>
      <c r="C793" t="s">
        <v>104</v>
      </c>
      <c r="D793" t="s">
        <v>952</v>
      </c>
      <c r="E793" t="s">
        <v>38</v>
      </c>
      <c r="F793" t="s">
        <v>106</v>
      </c>
      <c r="G793">
        <v>28</v>
      </c>
      <c r="H793" t="s">
        <v>40</v>
      </c>
      <c r="I793" t="s">
        <v>269</v>
      </c>
      <c r="J793">
        <v>809158</v>
      </c>
      <c r="K793" t="s">
        <v>18</v>
      </c>
      <c r="L793" s="1">
        <v>42424.467361111114</v>
      </c>
      <c r="M793" s="1">
        <v>42424</v>
      </c>
      <c r="N793" s="3">
        <f>INT(BrightTV_JoinedTablesnw_2026_04_16_23_55_09[[#This Row],[Viewership.RecordDate22]])</f>
        <v>42424</v>
      </c>
      <c r="O793" s="2">
        <v>0.46736111111111112</v>
      </c>
      <c r="P793" t="s">
        <v>955</v>
      </c>
      <c r="Q793">
        <v>809158</v>
      </c>
      <c r="R793" t="s">
        <v>20</v>
      </c>
    </row>
    <row r="794" spans="1:18" x14ac:dyDescent="0.25">
      <c r="A794">
        <v>809158</v>
      </c>
      <c r="B794" t="s">
        <v>267</v>
      </c>
      <c r="C794" t="s">
        <v>104</v>
      </c>
      <c r="D794" t="s">
        <v>952</v>
      </c>
      <c r="E794" t="s">
        <v>38</v>
      </c>
      <c r="F794" t="s">
        <v>106</v>
      </c>
      <c r="G794">
        <v>28</v>
      </c>
      <c r="H794" t="s">
        <v>40</v>
      </c>
      <c r="I794" t="s">
        <v>269</v>
      </c>
      <c r="J794">
        <v>809158</v>
      </c>
      <c r="K794" t="s">
        <v>18</v>
      </c>
      <c r="L794" s="1">
        <v>42424.631944444445</v>
      </c>
      <c r="M794" s="1">
        <v>42424</v>
      </c>
      <c r="N794" s="3">
        <f>INT(BrightTV_JoinedTablesnw_2026_04_16_23_55_09[[#This Row],[Viewership.RecordDate22]])</f>
        <v>42424</v>
      </c>
      <c r="O794" s="2">
        <v>0.63194444444444442</v>
      </c>
      <c r="P794" t="s">
        <v>364</v>
      </c>
      <c r="Q794">
        <v>809158</v>
      </c>
      <c r="R794" t="s">
        <v>20</v>
      </c>
    </row>
    <row r="795" spans="1:18" x14ac:dyDescent="0.25">
      <c r="A795">
        <v>809158</v>
      </c>
      <c r="B795" t="s">
        <v>267</v>
      </c>
      <c r="C795" t="s">
        <v>104</v>
      </c>
      <c r="D795" t="s">
        <v>952</v>
      </c>
      <c r="E795" t="s">
        <v>38</v>
      </c>
      <c r="F795" t="s">
        <v>106</v>
      </c>
      <c r="G795">
        <v>28</v>
      </c>
      <c r="H795" t="s">
        <v>40</v>
      </c>
      <c r="I795" t="s">
        <v>269</v>
      </c>
      <c r="J795">
        <v>809158</v>
      </c>
      <c r="K795" t="s">
        <v>18</v>
      </c>
      <c r="L795" s="1">
        <v>42448.484722222223</v>
      </c>
      <c r="M795" s="1">
        <v>42448</v>
      </c>
      <c r="N795" s="3">
        <f>INT(BrightTV_JoinedTablesnw_2026_04_16_23_55_09[[#This Row],[Viewership.RecordDate22]])</f>
        <v>42448</v>
      </c>
      <c r="O795" s="2">
        <v>0.48472222222222222</v>
      </c>
      <c r="P795" t="s">
        <v>956</v>
      </c>
      <c r="Q795">
        <v>809158</v>
      </c>
      <c r="R795" t="s">
        <v>20</v>
      </c>
    </row>
    <row r="796" spans="1:18" x14ac:dyDescent="0.25">
      <c r="A796">
        <v>809158</v>
      </c>
      <c r="B796" t="s">
        <v>267</v>
      </c>
      <c r="C796" t="s">
        <v>104</v>
      </c>
      <c r="D796" t="s">
        <v>952</v>
      </c>
      <c r="E796" t="s">
        <v>38</v>
      </c>
      <c r="F796" t="s">
        <v>106</v>
      </c>
      <c r="G796">
        <v>28</v>
      </c>
      <c r="H796" t="s">
        <v>40</v>
      </c>
      <c r="I796" t="s">
        <v>269</v>
      </c>
      <c r="J796">
        <v>809158</v>
      </c>
      <c r="K796" t="s">
        <v>18</v>
      </c>
      <c r="L796" s="1">
        <v>42438.675000000003</v>
      </c>
      <c r="M796" s="1">
        <v>42438</v>
      </c>
      <c r="N796" s="3">
        <f>INT(BrightTV_JoinedTablesnw_2026_04_16_23_55_09[[#This Row],[Viewership.RecordDate22]])</f>
        <v>42438</v>
      </c>
      <c r="O796" s="2">
        <v>0.67500000000000004</v>
      </c>
      <c r="P796" t="s">
        <v>957</v>
      </c>
      <c r="Q796">
        <v>809158</v>
      </c>
      <c r="R796" t="s">
        <v>20</v>
      </c>
    </row>
    <row r="797" spans="1:18" x14ac:dyDescent="0.25">
      <c r="A797">
        <v>809158</v>
      </c>
      <c r="B797" t="s">
        <v>267</v>
      </c>
      <c r="C797" t="s">
        <v>104</v>
      </c>
      <c r="D797" t="s">
        <v>952</v>
      </c>
      <c r="E797" t="s">
        <v>38</v>
      </c>
      <c r="F797" t="s">
        <v>106</v>
      </c>
      <c r="G797">
        <v>28</v>
      </c>
      <c r="H797" t="s">
        <v>40</v>
      </c>
      <c r="I797" t="s">
        <v>269</v>
      </c>
      <c r="J797">
        <v>809158</v>
      </c>
      <c r="K797" t="s">
        <v>18</v>
      </c>
      <c r="L797" s="1">
        <v>42459.791666666664</v>
      </c>
      <c r="M797" s="1">
        <v>42459</v>
      </c>
      <c r="N797" s="3">
        <f>INT(BrightTV_JoinedTablesnw_2026_04_16_23_55_09[[#This Row],[Viewership.RecordDate22]])</f>
        <v>42459</v>
      </c>
      <c r="O797" s="2">
        <v>0.79166666666666663</v>
      </c>
      <c r="P797" t="s">
        <v>958</v>
      </c>
      <c r="Q797">
        <v>809158</v>
      </c>
      <c r="R797" t="s">
        <v>20</v>
      </c>
    </row>
    <row r="798" spans="1:18" x14ac:dyDescent="0.25">
      <c r="A798">
        <v>786270</v>
      </c>
      <c r="B798" t="s">
        <v>317</v>
      </c>
      <c r="C798" t="s">
        <v>73</v>
      </c>
      <c r="D798" t="s">
        <v>959</v>
      </c>
      <c r="E798" t="s">
        <v>38</v>
      </c>
      <c r="F798" t="s">
        <v>39</v>
      </c>
      <c r="G798">
        <v>20</v>
      </c>
      <c r="H798" t="s">
        <v>138</v>
      </c>
      <c r="I798" t="s">
        <v>319</v>
      </c>
      <c r="J798">
        <v>786270</v>
      </c>
      <c r="K798" t="s">
        <v>30</v>
      </c>
      <c r="L798" s="1">
        <v>42410.263888888891</v>
      </c>
      <c r="M798" s="1">
        <v>42410</v>
      </c>
      <c r="N798" s="3">
        <f>INT(BrightTV_JoinedTablesnw_2026_04_16_23_55_09[[#This Row],[Viewership.RecordDate22]])</f>
        <v>42410</v>
      </c>
      <c r="O798" s="2">
        <v>0.2638888888888889</v>
      </c>
      <c r="P798" t="s">
        <v>547</v>
      </c>
      <c r="Q798">
        <v>786270</v>
      </c>
      <c r="R798" t="s">
        <v>20</v>
      </c>
    </row>
    <row r="799" spans="1:18" x14ac:dyDescent="0.25">
      <c r="A799">
        <v>786343</v>
      </c>
      <c r="B799" t="s">
        <v>147</v>
      </c>
      <c r="C799" t="s">
        <v>412</v>
      </c>
      <c r="D799" t="s">
        <v>960</v>
      </c>
      <c r="E799" t="s">
        <v>38</v>
      </c>
      <c r="F799" t="s">
        <v>106</v>
      </c>
      <c r="G799">
        <v>37</v>
      </c>
      <c r="H799" t="s">
        <v>52</v>
      </c>
      <c r="I799" t="s">
        <v>150</v>
      </c>
      <c r="J799">
        <v>786343</v>
      </c>
      <c r="K799" t="s">
        <v>186</v>
      </c>
      <c r="L799" s="1">
        <v>42382.288194444445</v>
      </c>
      <c r="M799" s="1">
        <v>42382</v>
      </c>
      <c r="N799" s="3">
        <f>INT(BrightTV_JoinedTablesnw_2026_04_16_23_55_09[[#This Row],[Viewership.RecordDate22]])</f>
        <v>42382</v>
      </c>
      <c r="O799" s="2">
        <v>0.28819444444444442</v>
      </c>
      <c r="P799" t="s">
        <v>315</v>
      </c>
      <c r="Q799">
        <v>786343</v>
      </c>
      <c r="R799" t="s">
        <v>20</v>
      </c>
    </row>
    <row r="800" spans="1:18" x14ac:dyDescent="0.25">
      <c r="A800">
        <v>786343</v>
      </c>
      <c r="B800" t="s">
        <v>147</v>
      </c>
      <c r="C800" t="s">
        <v>412</v>
      </c>
      <c r="D800" t="s">
        <v>960</v>
      </c>
      <c r="E800" t="s">
        <v>38</v>
      </c>
      <c r="F800" t="s">
        <v>106</v>
      </c>
      <c r="G800">
        <v>37</v>
      </c>
      <c r="H800" t="s">
        <v>52</v>
      </c>
      <c r="I800" t="s">
        <v>150</v>
      </c>
      <c r="J800">
        <v>786343</v>
      </c>
      <c r="K800" t="s">
        <v>32</v>
      </c>
      <c r="L800" s="1">
        <v>42383.392361111109</v>
      </c>
      <c r="M800" s="1">
        <v>42383</v>
      </c>
      <c r="N800" s="3">
        <f>INT(BrightTV_JoinedTablesnw_2026_04_16_23_55_09[[#This Row],[Viewership.RecordDate22]])</f>
        <v>42383</v>
      </c>
      <c r="O800" s="2">
        <v>0.3923611111111111</v>
      </c>
      <c r="P800" t="s">
        <v>961</v>
      </c>
      <c r="Q800">
        <v>786343</v>
      </c>
      <c r="R800" t="s">
        <v>20</v>
      </c>
    </row>
    <row r="801" spans="1:18" x14ac:dyDescent="0.25">
      <c r="A801">
        <v>786343</v>
      </c>
      <c r="B801" t="s">
        <v>147</v>
      </c>
      <c r="C801" t="s">
        <v>412</v>
      </c>
      <c r="D801" t="s">
        <v>960</v>
      </c>
      <c r="E801" t="s">
        <v>38</v>
      </c>
      <c r="F801" t="s">
        <v>106</v>
      </c>
      <c r="G801">
        <v>37</v>
      </c>
      <c r="H801" t="s">
        <v>52</v>
      </c>
      <c r="I801" t="s">
        <v>150</v>
      </c>
      <c r="J801">
        <v>786343</v>
      </c>
      <c r="K801" t="s">
        <v>129</v>
      </c>
      <c r="L801" s="1">
        <v>42381.802777777775</v>
      </c>
      <c r="M801" s="1">
        <v>42381</v>
      </c>
      <c r="N801" s="3">
        <f>INT(BrightTV_JoinedTablesnw_2026_04_16_23_55_09[[#This Row],[Viewership.RecordDate22]])</f>
        <v>42381</v>
      </c>
      <c r="O801" s="2">
        <v>0.80277777777777781</v>
      </c>
      <c r="P801" t="s">
        <v>31</v>
      </c>
      <c r="Q801">
        <v>786343</v>
      </c>
      <c r="R801" t="s">
        <v>20</v>
      </c>
    </row>
    <row r="802" spans="1:18" x14ac:dyDescent="0.25">
      <c r="A802">
        <v>788854</v>
      </c>
      <c r="B802" t="s">
        <v>158</v>
      </c>
      <c r="C802" t="s">
        <v>525</v>
      </c>
      <c r="D802" t="s">
        <v>159</v>
      </c>
      <c r="E802" t="s">
        <v>38</v>
      </c>
      <c r="F802" t="s">
        <v>96</v>
      </c>
      <c r="G802">
        <v>28</v>
      </c>
      <c r="H802" t="s">
        <v>138</v>
      </c>
      <c r="I802" t="s">
        <v>160</v>
      </c>
      <c r="J802">
        <v>788854</v>
      </c>
      <c r="K802" t="s">
        <v>47</v>
      </c>
      <c r="L802" s="1">
        <v>42416.929861111108</v>
      </c>
      <c r="M802" s="1">
        <v>42416</v>
      </c>
      <c r="N802" s="3">
        <f>INT(BrightTV_JoinedTablesnw_2026_04_16_23_55_09[[#This Row],[Viewership.RecordDate22]])</f>
        <v>42416</v>
      </c>
      <c r="O802" s="2">
        <v>0.92986111111111114</v>
      </c>
      <c r="P802" t="s">
        <v>962</v>
      </c>
      <c r="Q802">
        <v>788854</v>
      </c>
      <c r="R802" t="s">
        <v>20</v>
      </c>
    </row>
    <row r="803" spans="1:18" x14ac:dyDescent="0.25">
      <c r="A803">
        <v>788854</v>
      </c>
      <c r="B803" t="s">
        <v>158</v>
      </c>
      <c r="C803" t="s">
        <v>525</v>
      </c>
      <c r="D803" t="s">
        <v>159</v>
      </c>
      <c r="E803" t="s">
        <v>38</v>
      </c>
      <c r="F803" t="s">
        <v>96</v>
      </c>
      <c r="G803">
        <v>28</v>
      </c>
      <c r="H803" t="s">
        <v>138</v>
      </c>
      <c r="I803" t="s">
        <v>160</v>
      </c>
      <c r="J803">
        <v>788854</v>
      </c>
      <c r="K803" t="s">
        <v>84</v>
      </c>
      <c r="L803" s="1">
        <v>42407.697222222225</v>
      </c>
      <c r="M803" s="1">
        <v>42407</v>
      </c>
      <c r="N803" s="3">
        <f>INT(BrightTV_JoinedTablesnw_2026_04_16_23_55_09[[#This Row],[Viewership.RecordDate22]])</f>
        <v>42407</v>
      </c>
      <c r="O803" s="2">
        <v>0.69722222222222219</v>
      </c>
      <c r="P803" t="s">
        <v>963</v>
      </c>
      <c r="Q803">
        <v>788854</v>
      </c>
      <c r="R803" t="s">
        <v>20</v>
      </c>
    </row>
    <row r="804" spans="1:18" x14ac:dyDescent="0.25">
      <c r="A804">
        <v>788854</v>
      </c>
      <c r="B804" t="s">
        <v>158</v>
      </c>
      <c r="C804" t="s">
        <v>525</v>
      </c>
      <c r="D804" t="s">
        <v>159</v>
      </c>
      <c r="E804" t="s">
        <v>38</v>
      </c>
      <c r="F804" t="s">
        <v>96</v>
      </c>
      <c r="G804">
        <v>28</v>
      </c>
      <c r="H804" t="s">
        <v>138</v>
      </c>
      <c r="I804" t="s">
        <v>160</v>
      </c>
      <c r="J804">
        <v>788854</v>
      </c>
      <c r="K804" t="s">
        <v>32</v>
      </c>
      <c r="L804" s="1">
        <v>42404.427777777775</v>
      </c>
      <c r="M804" s="1">
        <v>42404</v>
      </c>
      <c r="N804" s="3">
        <f>INT(BrightTV_JoinedTablesnw_2026_04_16_23_55_09[[#This Row],[Viewership.RecordDate22]])</f>
        <v>42404</v>
      </c>
      <c r="O804" s="2">
        <v>0.42777777777777776</v>
      </c>
      <c r="P804" t="s">
        <v>964</v>
      </c>
      <c r="Q804">
        <v>788854</v>
      </c>
      <c r="R804" t="s">
        <v>20</v>
      </c>
    </row>
    <row r="805" spans="1:18" x14ac:dyDescent="0.25">
      <c r="A805">
        <v>788854</v>
      </c>
      <c r="B805" t="s">
        <v>158</v>
      </c>
      <c r="C805" t="s">
        <v>525</v>
      </c>
      <c r="D805" t="s">
        <v>159</v>
      </c>
      <c r="E805" t="s">
        <v>38</v>
      </c>
      <c r="F805" t="s">
        <v>96</v>
      </c>
      <c r="G805">
        <v>28</v>
      </c>
      <c r="H805" t="s">
        <v>138</v>
      </c>
      <c r="I805" t="s">
        <v>160</v>
      </c>
      <c r="J805">
        <v>788854</v>
      </c>
      <c r="K805" t="s">
        <v>32</v>
      </c>
      <c r="L805" s="1">
        <v>42403.93472222222</v>
      </c>
      <c r="M805" s="1">
        <v>42403</v>
      </c>
      <c r="N805" s="3">
        <f>INT(BrightTV_JoinedTablesnw_2026_04_16_23_55_09[[#This Row],[Viewership.RecordDate22]])</f>
        <v>42403</v>
      </c>
      <c r="O805" s="2">
        <v>0.93472222222222223</v>
      </c>
      <c r="P805" t="s">
        <v>29</v>
      </c>
      <c r="Q805">
        <v>788854</v>
      </c>
      <c r="R805" t="s">
        <v>20</v>
      </c>
    </row>
    <row r="806" spans="1:18" x14ac:dyDescent="0.25">
      <c r="A806">
        <v>809162</v>
      </c>
      <c r="B806" t="s">
        <v>317</v>
      </c>
      <c r="C806" t="s">
        <v>271</v>
      </c>
      <c r="D806" t="s">
        <v>653</v>
      </c>
      <c r="E806" t="s">
        <v>38</v>
      </c>
      <c r="F806" t="s">
        <v>39</v>
      </c>
      <c r="G806">
        <v>54</v>
      </c>
      <c r="H806" t="s">
        <v>252</v>
      </c>
      <c r="I806" t="s">
        <v>319</v>
      </c>
      <c r="J806">
        <v>809162</v>
      </c>
      <c r="K806" t="s">
        <v>18</v>
      </c>
      <c r="L806" s="1">
        <v>42435.559027777781</v>
      </c>
      <c r="M806" s="1">
        <v>42435</v>
      </c>
      <c r="N806" s="3">
        <f>INT(BrightTV_JoinedTablesnw_2026_04_16_23_55_09[[#This Row],[Viewership.RecordDate22]])</f>
        <v>42435</v>
      </c>
      <c r="O806" s="2">
        <v>0.55902777777777779</v>
      </c>
      <c r="P806" t="s">
        <v>965</v>
      </c>
      <c r="Q806">
        <v>809162</v>
      </c>
      <c r="R806" t="s">
        <v>20</v>
      </c>
    </row>
    <row r="807" spans="1:18" x14ac:dyDescent="0.25">
      <c r="A807">
        <v>803703</v>
      </c>
      <c r="B807" t="s">
        <v>777</v>
      </c>
      <c r="C807" t="s">
        <v>155</v>
      </c>
      <c r="D807" t="s">
        <v>966</v>
      </c>
      <c r="E807" t="s">
        <v>38</v>
      </c>
      <c r="F807" t="s">
        <v>96</v>
      </c>
      <c r="G807">
        <v>33</v>
      </c>
      <c r="H807" t="s">
        <v>60</v>
      </c>
      <c r="I807" t="s">
        <v>779</v>
      </c>
      <c r="J807">
        <v>803703</v>
      </c>
      <c r="K807" t="s">
        <v>47</v>
      </c>
      <c r="L807" s="1">
        <v>42434.731249999997</v>
      </c>
      <c r="M807" s="1">
        <v>42434</v>
      </c>
      <c r="N807" s="3">
        <f>INT(BrightTV_JoinedTablesnw_2026_04_16_23_55_09[[#This Row],[Viewership.RecordDate22]])</f>
        <v>42434</v>
      </c>
      <c r="O807" s="2">
        <v>0.73124999999999996</v>
      </c>
      <c r="P807" t="s">
        <v>100</v>
      </c>
      <c r="Q807">
        <v>803703</v>
      </c>
      <c r="R807" t="s">
        <v>20</v>
      </c>
    </row>
    <row r="808" spans="1:18" x14ac:dyDescent="0.25">
      <c r="A808">
        <v>809165</v>
      </c>
      <c r="B808" t="s">
        <v>366</v>
      </c>
      <c r="C808" t="s">
        <v>772</v>
      </c>
      <c r="D808" t="s">
        <v>967</v>
      </c>
      <c r="E808" t="s">
        <v>38</v>
      </c>
      <c r="F808" t="s">
        <v>25</v>
      </c>
      <c r="G808">
        <v>40</v>
      </c>
      <c r="H808" t="s">
        <v>40</v>
      </c>
      <c r="I808" t="s">
        <v>368</v>
      </c>
      <c r="J808">
        <v>809165</v>
      </c>
      <c r="K808" t="s">
        <v>18</v>
      </c>
      <c r="L808" s="1">
        <v>42432.530555555553</v>
      </c>
      <c r="M808" s="1">
        <v>42432</v>
      </c>
      <c r="N808" s="3">
        <f>INT(BrightTV_JoinedTablesnw_2026_04_16_23_55_09[[#This Row],[Viewership.RecordDate22]])</f>
        <v>42432</v>
      </c>
      <c r="O808" s="2">
        <v>0.53055555555555556</v>
      </c>
      <c r="P808" t="s">
        <v>968</v>
      </c>
      <c r="Q808">
        <v>809165</v>
      </c>
      <c r="R808" t="s">
        <v>20</v>
      </c>
    </row>
    <row r="809" spans="1:18" x14ac:dyDescent="0.25">
      <c r="A809">
        <v>809165</v>
      </c>
      <c r="B809" t="s">
        <v>366</v>
      </c>
      <c r="C809" t="s">
        <v>772</v>
      </c>
      <c r="D809" t="s">
        <v>967</v>
      </c>
      <c r="E809" t="s">
        <v>38</v>
      </c>
      <c r="F809" t="s">
        <v>25</v>
      </c>
      <c r="G809">
        <v>40</v>
      </c>
      <c r="H809" t="s">
        <v>40</v>
      </c>
      <c r="I809" t="s">
        <v>368</v>
      </c>
      <c r="J809">
        <v>809165</v>
      </c>
      <c r="K809" t="s">
        <v>47</v>
      </c>
      <c r="L809" s="1">
        <v>42390.604166666664</v>
      </c>
      <c r="M809" s="1">
        <v>42390</v>
      </c>
      <c r="N809" s="3">
        <f>INT(BrightTV_JoinedTablesnw_2026_04_16_23_55_09[[#This Row],[Viewership.RecordDate22]])</f>
        <v>42390</v>
      </c>
      <c r="O809" s="2">
        <v>0.60416666666666663</v>
      </c>
      <c r="P809" t="s">
        <v>969</v>
      </c>
      <c r="Q809">
        <v>809165</v>
      </c>
      <c r="R809" t="s">
        <v>20</v>
      </c>
    </row>
    <row r="810" spans="1:18" x14ac:dyDescent="0.25">
      <c r="A810">
        <v>809165</v>
      </c>
      <c r="B810" t="s">
        <v>366</v>
      </c>
      <c r="C810" t="s">
        <v>772</v>
      </c>
      <c r="D810" t="s">
        <v>967</v>
      </c>
      <c r="E810" t="s">
        <v>38</v>
      </c>
      <c r="F810" t="s">
        <v>25</v>
      </c>
      <c r="G810">
        <v>40</v>
      </c>
      <c r="H810" t="s">
        <v>40</v>
      </c>
      <c r="I810" t="s">
        <v>368</v>
      </c>
      <c r="J810">
        <v>809165</v>
      </c>
      <c r="K810" t="s">
        <v>54</v>
      </c>
      <c r="L810" s="1">
        <v>42388.85833333333</v>
      </c>
      <c r="M810" s="1">
        <v>42388</v>
      </c>
      <c r="N810" s="3">
        <f>INT(BrightTV_JoinedTablesnw_2026_04_16_23_55_09[[#This Row],[Viewership.RecordDate22]])</f>
        <v>42388</v>
      </c>
      <c r="O810" s="2">
        <v>0.85833333333333328</v>
      </c>
      <c r="P810" t="s">
        <v>809</v>
      </c>
      <c r="Q810">
        <v>809165</v>
      </c>
      <c r="R810" t="s">
        <v>20</v>
      </c>
    </row>
    <row r="811" spans="1:18" x14ac:dyDescent="0.25">
      <c r="A811">
        <v>788856</v>
      </c>
      <c r="B811" t="s">
        <v>237</v>
      </c>
      <c r="C811" t="s">
        <v>298</v>
      </c>
      <c r="D811" t="s">
        <v>970</v>
      </c>
      <c r="E811" t="s">
        <v>38</v>
      </c>
      <c r="F811" t="s">
        <v>16</v>
      </c>
      <c r="G811">
        <v>45</v>
      </c>
      <c r="H811" t="s">
        <v>60</v>
      </c>
      <c r="I811" t="s">
        <v>240</v>
      </c>
      <c r="J811">
        <v>788856</v>
      </c>
      <c r="K811" t="s">
        <v>47</v>
      </c>
      <c r="L811" s="1">
        <v>42385.811111111114</v>
      </c>
      <c r="M811" s="1">
        <v>42385</v>
      </c>
      <c r="N811" s="3">
        <f>INT(BrightTV_JoinedTablesnw_2026_04_16_23_55_09[[#This Row],[Viewership.RecordDate22]])</f>
        <v>42385</v>
      </c>
      <c r="O811" s="2">
        <v>0.81111111111111112</v>
      </c>
      <c r="P811" t="s">
        <v>64</v>
      </c>
      <c r="Q811">
        <v>788856</v>
      </c>
      <c r="R811" t="s">
        <v>20</v>
      </c>
    </row>
    <row r="812" spans="1:18" x14ac:dyDescent="0.25">
      <c r="A812">
        <v>788856</v>
      </c>
      <c r="B812" t="s">
        <v>237</v>
      </c>
      <c r="C812" t="s">
        <v>298</v>
      </c>
      <c r="D812" t="s">
        <v>970</v>
      </c>
      <c r="E812" t="s">
        <v>38</v>
      </c>
      <c r="F812" t="s">
        <v>16</v>
      </c>
      <c r="G812">
        <v>45</v>
      </c>
      <c r="H812" t="s">
        <v>60</v>
      </c>
      <c r="I812" t="s">
        <v>240</v>
      </c>
      <c r="J812">
        <v>788856</v>
      </c>
      <c r="K812" t="s">
        <v>84</v>
      </c>
      <c r="L812" s="1">
        <v>42379.913194444445</v>
      </c>
      <c r="M812" s="1">
        <v>42379</v>
      </c>
      <c r="N812" s="3">
        <f>INT(BrightTV_JoinedTablesnw_2026_04_16_23_55_09[[#This Row],[Viewership.RecordDate22]])</f>
        <v>42379</v>
      </c>
      <c r="O812" s="2">
        <v>0.91319444444444442</v>
      </c>
      <c r="P812" t="s">
        <v>971</v>
      </c>
      <c r="Q812">
        <v>788856</v>
      </c>
      <c r="R812" t="s">
        <v>20</v>
      </c>
    </row>
    <row r="813" spans="1:18" x14ac:dyDescent="0.25">
      <c r="A813">
        <v>787846</v>
      </c>
      <c r="B813" t="s">
        <v>559</v>
      </c>
      <c r="C813" t="s">
        <v>560</v>
      </c>
      <c r="D813" t="s">
        <v>972</v>
      </c>
      <c r="E813" t="s">
        <v>24</v>
      </c>
      <c r="F813" t="s">
        <v>96</v>
      </c>
      <c r="G813">
        <v>32</v>
      </c>
      <c r="H813" t="s">
        <v>60</v>
      </c>
      <c r="I813" t="s">
        <v>973</v>
      </c>
      <c r="J813">
        <v>787846</v>
      </c>
      <c r="K813" t="s">
        <v>30</v>
      </c>
      <c r="L813" s="1">
        <v>42453.851388888892</v>
      </c>
      <c r="M813" s="1">
        <v>42453</v>
      </c>
      <c r="N813" s="3">
        <f>INT(BrightTV_JoinedTablesnw_2026_04_16_23_55_09[[#This Row],[Viewership.RecordDate22]])</f>
        <v>42453</v>
      </c>
      <c r="O813" s="2">
        <v>0.85138888888888886</v>
      </c>
      <c r="P813" t="s">
        <v>974</v>
      </c>
      <c r="Q813">
        <v>787846</v>
      </c>
      <c r="R813" t="s">
        <v>20</v>
      </c>
    </row>
    <row r="814" spans="1:18" x14ac:dyDescent="0.25">
      <c r="A814">
        <v>787846</v>
      </c>
      <c r="B814" t="s">
        <v>559</v>
      </c>
      <c r="C814" t="s">
        <v>560</v>
      </c>
      <c r="D814" t="s">
        <v>972</v>
      </c>
      <c r="E814" t="s">
        <v>24</v>
      </c>
      <c r="F814" t="s">
        <v>96</v>
      </c>
      <c r="G814">
        <v>32</v>
      </c>
      <c r="H814" t="s">
        <v>60</v>
      </c>
      <c r="I814" t="s">
        <v>973</v>
      </c>
      <c r="J814">
        <v>787846</v>
      </c>
      <c r="K814" t="s">
        <v>32</v>
      </c>
      <c r="L814" s="1">
        <v>42454.508333333331</v>
      </c>
      <c r="M814" s="1">
        <v>42454</v>
      </c>
      <c r="N814" s="3">
        <f>INT(BrightTV_JoinedTablesnw_2026_04_16_23_55_09[[#This Row],[Viewership.RecordDate22]])</f>
        <v>42454</v>
      </c>
      <c r="O814" s="2">
        <v>0.5083333333333333</v>
      </c>
      <c r="P814" t="s">
        <v>275</v>
      </c>
      <c r="Q814">
        <v>787846</v>
      </c>
      <c r="R814" t="s">
        <v>20</v>
      </c>
    </row>
    <row r="815" spans="1:18" x14ac:dyDescent="0.25">
      <c r="A815">
        <v>787846</v>
      </c>
      <c r="B815" t="s">
        <v>559</v>
      </c>
      <c r="C815" t="s">
        <v>560</v>
      </c>
      <c r="D815" t="s">
        <v>972</v>
      </c>
      <c r="E815" t="s">
        <v>24</v>
      </c>
      <c r="F815" t="s">
        <v>96</v>
      </c>
      <c r="G815">
        <v>32</v>
      </c>
      <c r="H815" t="s">
        <v>60</v>
      </c>
      <c r="I815" t="s">
        <v>973</v>
      </c>
      <c r="J815">
        <v>787846</v>
      </c>
      <c r="K815" t="s">
        <v>32</v>
      </c>
      <c r="L815" s="1">
        <v>42454.993055555555</v>
      </c>
      <c r="M815" s="1">
        <v>42454</v>
      </c>
      <c r="N815" s="3">
        <f>INT(BrightTV_JoinedTablesnw_2026_04_16_23_55_09[[#This Row],[Viewership.RecordDate22]])</f>
        <v>42454</v>
      </c>
      <c r="O815" s="2">
        <v>0.99305555555555558</v>
      </c>
      <c r="P815" t="s">
        <v>819</v>
      </c>
      <c r="Q815">
        <v>787846</v>
      </c>
      <c r="R815" t="s">
        <v>20</v>
      </c>
    </row>
    <row r="816" spans="1:18" x14ac:dyDescent="0.25">
      <c r="A816">
        <v>788857</v>
      </c>
      <c r="B816" t="s">
        <v>154</v>
      </c>
      <c r="C816" t="s">
        <v>775</v>
      </c>
      <c r="D816" t="s">
        <v>358</v>
      </c>
      <c r="E816" t="s">
        <v>38</v>
      </c>
      <c r="F816" t="s">
        <v>25</v>
      </c>
      <c r="G816">
        <v>47</v>
      </c>
      <c r="H816" t="s">
        <v>60</v>
      </c>
      <c r="I816" t="s">
        <v>157</v>
      </c>
      <c r="J816">
        <v>788857</v>
      </c>
      <c r="K816" t="s">
        <v>28</v>
      </c>
      <c r="L816" s="1">
        <v>42409.722222222219</v>
      </c>
      <c r="M816" s="1">
        <v>42409</v>
      </c>
      <c r="N816" s="3">
        <f>INT(BrightTV_JoinedTablesnw_2026_04_16_23_55_09[[#This Row],[Viewership.RecordDate22]])</f>
        <v>42409</v>
      </c>
      <c r="O816" s="2">
        <v>0.72222222222222221</v>
      </c>
      <c r="P816" t="s">
        <v>114</v>
      </c>
      <c r="Q816">
        <v>788857</v>
      </c>
      <c r="R816" t="s">
        <v>20</v>
      </c>
    </row>
    <row r="817" spans="1:18" x14ac:dyDescent="0.25">
      <c r="A817">
        <v>788857</v>
      </c>
      <c r="B817" t="s">
        <v>154</v>
      </c>
      <c r="C817" t="s">
        <v>775</v>
      </c>
      <c r="D817" t="s">
        <v>358</v>
      </c>
      <c r="E817" t="s">
        <v>38</v>
      </c>
      <c r="F817" t="s">
        <v>25</v>
      </c>
      <c r="G817">
        <v>47</v>
      </c>
      <c r="H817" t="s">
        <v>60</v>
      </c>
      <c r="I817" t="s">
        <v>157</v>
      </c>
      <c r="J817">
        <v>788857</v>
      </c>
      <c r="K817" t="s">
        <v>129</v>
      </c>
      <c r="L817" s="1">
        <v>42413.513194444444</v>
      </c>
      <c r="M817" s="1">
        <v>42413</v>
      </c>
      <c r="N817" s="3">
        <f>INT(BrightTV_JoinedTablesnw_2026_04_16_23_55_09[[#This Row],[Viewership.RecordDate22]])</f>
        <v>42413</v>
      </c>
      <c r="O817" s="2">
        <v>0.5131944444444444</v>
      </c>
      <c r="P817" t="s">
        <v>975</v>
      </c>
      <c r="Q817">
        <v>788857</v>
      </c>
      <c r="R817" t="s">
        <v>20</v>
      </c>
    </row>
    <row r="818" spans="1:18" x14ac:dyDescent="0.25">
      <c r="A818">
        <v>788857</v>
      </c>
      <c r="B818" t="s">
        <v>154</v>
      </c>
      <c r="C818" t="s">
        <v>775</v>
      </c>
      <c r="D818" t="s">
        <v>358</v>
      </c>
      <c r="E818" t="s">
        <v>38</v>
      </c>
      <c r="F818" t="s">
        <v>25</v>
      </c>
      <c r="G818">
        <v>47</v>
      </c>
      <c r="H818" t="s">
        <v>60</v>
      </c>
      <c r="I818" t="s">
        <v>157</v>
      </c>
      <c r="J818">
        <v>788857</v>
      </c>
      <c r="K818" t="s">
        <v>32</v>
      </c>
      <c r="L818" s="1">
        <v>42413.513888888891</v>
      </c>
      <c r="M818" s="1">
        <v>42413</v>
      </c>
      <c r="N818" s="3">
        <f>INT(BrightTV_JoinedTablesnw_2026_04_16_23_55_09[[#This Row],[Viewership.RecordDate22]])</f>
        <v>42413</v>
      </c>
      <c r="O818" s="2">
        <v>0.51388888888888884</v>
      </c>
      <c r="P818" t="s">
        <v>175</v>
      </c>
      <c r="Q818">
        <v>788857</v>
      </c>
      <c r="R818" t="s">
        <v>20</v>
      </c>
    </row>
    <row r="819" spans="1:18" x14ac:dyDescent="0.25">
      <c r="A819">
        <v>802485</v>
      </c>
      <c r="B819" t="s">
        <v>317</v>
      </c>
      <c r="C819" t="s">
        <v>407</v>
      </c>
      <c r="D819" t="s">
        <v>509</v>
      </c>
      <c r="E819" t="s">
        <v>38</v>
      </c>
      <c r="F819" t="s">
        <v>25</v>
      </c>
      <c r="G819">
        <v>34</v>
      </c>
      <c r="H819" t="s">
        <v>40</v>
      </c>
      <c r="I819" t="s">
        <v>319</v>
      </c>
      <c r="J819">
        <v>802485</v>
      </c>
      <c r="K819" t="s">
        <v>30</v>
      </c>
      <c r="L819" s="1">
        <v>42421.677777777775</v>
      </c>
      <c r="M819" s="1">
        <v>42421</v>
      </c>
      <c r="N819" s="3">
        <f>INT(BrightTV_JoinedTablesnw_2026_04_16_23_55_09[[#This Row],[Viewership.RecordDate22]])</f>
        <v>42421</v>
      </c>
      <c r="O819" s="2">
        <v>0.67777777777777781</v>
      </c>
      <c r="P819" t="s">
        <v>976</v>
      </c>
      <c r="Q819">
        <v>802485</v>
      </c>
      <c r="R819" t="s">
        <v>20</v>
      </c>
    </row>
    <row r="820" spans="1:18" x14ac:dyDescent="0.25">
      <c r="A820">
        <v>802485</v>
      </c>
      <c r="B820" t="s">
        <v>317</v>
      </c>
      <c r="C820" t="s">
        <v>407</v>
      </c>
      <c r="D820" t="s">
        <v>509</v>
      </c>
      <c r="E820" t="s">
        <v>38</v>
      </c>
      <c r="F820" t="s">
        <v>25</v>
      </c>
      <c r="G820">
        <v>34</v>
      </c>
      <c r="H820" t="s">
        <v>40</v>
      </c>
      <c r="I820" t="s">
        <v>319</v>
      </c>
      <c r="J820">
        <v>802485</v>
      </c>
      <c r="K820" t="s">
        <v>30</v>
      </c>
      <c r="L820" s="1">
        <v>42420.40902777778</v>
      </c>
      <c r="M820" s="1">
        <v>42420</v>
      </c>
      <c r="N820" s="3">
        <f>INT(BrightTV_JoinedTablesnw_2026_04_16_23_55_09[[#This Row],[Viewership.RecordDate22]])</f>
        <v>42420</v>
      </c>
      <c r="O820" s="2">
        <v>0.40902777777777777</v>
      </c>
      <c r="P820" t="s">
        <v>64</v>
      </c>
      <c r="Q820">
        <v>802485</v>
      </c>
      <c r="R820" t="s">
        <v>20</v>
      </c>
    </row>
    <row r="821" spans="1:18" x14ac:dyDescent="0.25">
      <c r="A821">
        <v>802485</v>
      </c>
      <c r="B821" t="s">
        <v>317</v>
      </c>
      <c r="C821" t="s">
        <v>407</v>
      </c>
      <c r="D821" t="s">
        <v>509</v>
      </c>
      <c r="E821" t="s">
        <v>38</v>
      </c>
      <c r="F821" t="s">
        <v>25</v>
      </c>
      <c r="G821">
        <v>34</v>
      </c>
      <c r="H821" t="s">
        <v>40</v>
      </c>
      <c r="I821" t="s">
        <v>319</v>
      </c>
      <c r="J821">
        <v>802485</v>
      </c>
      <c r="K821" t="s">
        <v>84</v>
      </c>
      <c r="L821" s="1">
        <v>42421.452777777777</v>
      </c>
      <c r="M821" s="1">
        <v>42421</v>
      </c>
      <c r="N821" s="3">
        <f>INT(BrightTV_JoinedTablesnw_2026_04_16_23_55_09[[#This Row],[Viewership.RecordDate22]])</f>
        <v>42421</v>
      </c>
      <c r="O821" s="2">
        <v>0.45277777777777778</v>
      </c>
      <c r="P821" t="s">
        <v>977</v>
      </c>
      <c r="Q821">
        <v>802485</v>
      </c>
      <c r="R821" t="s">
        <v>20</v>
      </c>
    </row>
    <row r="822" spans="1:18" x14ac:dyDescent="0.25">
      <c r="A822">
        <v>788858</v>
      </c>
      <c r="B822" t="s">
        <v>426</v>
      </c>
      <c r="C822" t="s">
        <v>775</v>
      </c>
      <c r="D822" t="s">
        <v>788</v>
      </c>
      <c r="E822" t="s">
        <v>38</v>
      </c>
      <c r="F822" t="s">
        <v>39</v>
      </c>
      <c r="G822">
        <v>30</v>
      </c>
      <c r="H822" t="s">
        <v>60</v>
      </c>
      <c r="I822" t="s">
        <v>428</v>
      </c>
      <c r="J822">
        <v>788858</v>
      </c>
      <c r="K822" t="s">
        <v>54</v>
      </c>
      <c r="L822" s="1">
        <v>42404.671527777777</v>
      </c>
      <c r="M822" s="1">
        <v>42404</v>
      </c>
      <c r="N822" s="3">
        <f>INT(BrightTV_JoinedTablesnw_2026_04_16_23_55_09[[#This Row],[Viewership.RecordDate22]])</f>
        <v>42404</v>
      </c>
      <c r="O822" s="2">
        <v>0.67152777777777772</v>
      </c>
      <c r="P822" t="s">
        <v>429</v>
      </c>
      <c r="Q822">
        <v>788858</v>
      </c>
      <c r="R822" t="s">
        <v>20</v>
      </c>
    </row>
    <row r="823" spans="1:18" x14ac:dyDescent="0.25">
      <c r="A823">
        <v>788858</v>
      </c>
      <c r="B823" t="s">
        <v>426</v>
      </c>
      <c r="C823" t="s">
        <v>775</v>
      </c>
      <c r="D823" t="s">
        <v>788</v>
      </c>
      <c r="E823" t="s">
        <v>38</v>
      </c>
      <c r="F823" t="s">
        <v>39</v>
      </c>
      <c r="G823">
        <v>30</v>
      </c>
      <c r="H823" t="s">
        <v>60</v>
      </c>
      <c r="I823" t="s">
        <v>428</v>
      </c>
      <c r="J823">
        <v>788858</v>
      </c>
      <c r="K823" t="s">
        <v>54</v>
      </c>
      <c r="L823" s="1">
        <v>42409.753472222219</v>
      </c>
      <c r="M823" s="1">
        <v>42409</v>
      </c>
      <c r="N823" s="3">
        <f>INT(BrightTV_JoinedTablesnw_2026_04_16_23_55_09[[#This Row],[Viewership.RecordDate22]])</f>
        <v>42409</v>
      </c>
      <c r="O823" s="2">
        <v>0.75347222222222221</v>
      </c>
      <c r="P823" t="s">
        <v>978</v>
      </c>
      <c r="Q823">
        <v>788858</v>
      </c>
      <c r="R823" t="s">
        <v>20</v>
      </c>
    </row>
    <row r="824" spans="1:18" x14ac:dyDescent="0.25">
      <c r="A824">
        <v>809166</v>
      </c>
      <c r="B824" t="s">
        <v>80</v>
      </c>
      <c r="C824" t="s">
        <v>283</v>
      </c>
      <c r="D824" t="s">
        <v>120</v>
      </c>
      <c r="E824" t="s">
        <v>38</v>
      </c>
      <c r="F824" t="s">
        <v>25</v>
      </c>
      <c r="G824">
        <v>22</v>
      </c>
      <c r="H824" t="s">
        <v>26</v>
      </c>
      <c r="I824" t="s">
        <v>83</v>
      </c>
      <c r="J824">
        <v>809166</v>
      </c>
      <c r="K824" t="s">
        <v>18</v>
      </c>
      <c r="L824" s="1">
        <v>42422.586805555555</v>
      </c>
      <c r="M824" s="1">
        <v>42422</v>
      </c>
      <c r="N824" s="3">
        <f>INT(BrightTV_JoinedTablesnw_2026_04_16_23_55_09[[#This Row],[Viewership.RecordDate22]])</f>
        <v>42422</v>
      </c>
      <c r="O824" s="2">
        <v>0.58680555555555558</v>
      </c>
      <c r="P824" t="s">
        <v>979</v>
      </c>
      <c r="Q824">
        <v>809166</v>
      </c>
      <c r="R824" t="s">
        <v>20</v>
      </c>
    </row>
    <row r="825" spans="1:18" x14ac:dyDescent="0.25">
      <c r="A825">
        <v>809166</v>
      </c>
      <c r="B825" t="s">
        <v>80</v>
      </c>
      <c r="C825" t="s">
        <v>283</v>
      </c>
      <c r="D825" t="s">
        <v>120</v>
      </c>
      <c r="E825" t="s">
        <v>38</v>
      </c>
      <c r="F825" t="s">
        <v>25</v>
      </c>
      <c r="G825">
        <v>22</v>
      </c>
      <c r="H825" t="s">
        <v>26</v>
      </c>
      <c r="I825" t="s">
        <v>83</v>
      </c>
      <c r="J825">
        <v>809166</v>
      </c>
      <c r="K825" t="s">
        <v>18</v>
      </c>
      <c r="L825" s="1">
        <v>42424.661805555559</v>
      </c>
      <c r="M825" s="1">
        <v>42424</v>
      </c>
      <c r="N825" s="3">
        <f>INT(BrightTV_JoinedTablesnw_2026_04_16_23_55_09[[#This Row],[Viewership.RecordDate22]])</f>
        <v>42424</v>
      </c>
      <c r="O825" s="2">
        <v>0.66180555555555554</v>
      </c>
      <c r="P825" t="s">
        <v>452</v>
      </c>
      <c r="Q825">
        <v>809166</v>
      </c>
      <c r="R825" t="s">
        <v>20</v>
      </c>
    </row>
    <row r="826" spans="1:18" x14ac:dyDescent="0.25">
      <c r="A826">
        <v>791480</v>
      </c>
      <c r="B826" t="s">
        <v>223</v>
      </c>
      <c r="C826" t="s">
        <v>260</v>
      </c>
      <c r="D826" t="s">
        <v>279</v>
      </c>
      <c r="E826" t="s">
        <v>38</v>
      </c>
      <c r="F826" t="s">
        <v>25</v>
      </c>
      <c r="G826">
        <v>18</v>
      </c>
      <c r="H826" t="s">
        <v>52</v>
      </c>
      <c r="I826" t="s">
        <v>226</v>
      </c>
      <c r="J826">
        <v>791480</v>
      </c>
      <c r="K826" t="s">
        <v>77</v>
      </c>
      <c r="L826" s="1">
        <v>42414.445833333331</v>
      </c>
      <c r="M826" s="1">
        <v>42414</v>
      </c>
      <c r="N826" s="3">
        <f>INT(BrightTV_JoinedTablesnw_2026_04_16_23_55_09[[#This Row],[Viewership.RecordDate22]])</f>
        <v>42414</v>
      </c>
      <c r="O826" s="2">
        <v>0.44583333333333336</v>
      </c>
      <c r="P826" t="s">
        <v>821</v>
      </c>
      <c r="Q826">
        <v>791480</v>
      </c>
      <c r="R826" t="s">
        <v>20</v>
      </c>
    </row>
    <row r="827" spans="1:18" x14ac:dyDescent="0.25">
      <c r="A827">
        <v>791480</v>
      </c>
      <c r="B827" t="s">
        <v>223</v>
      </c>
      <c r="C827" t="s">
        <v>260</v>
      </c>
      <c r="D827" t="s">
        <v>279</v>
      </c>
      <c r="E827" t="s">
        <v>38</v>
      </c>
      <c r="F827" t="s">
        <v>25</v>
      </c>
      <c r="G827">
        <v>18</v>
      </c>
      <c r="H827" t="s">
        <v>52</v>
      </c>
      <c r="I827" t="s">
        <v>226</v>
      </c>
      <c r="J827">
        <v>791480</v>
      </c>
      <c r="K827" t="s">
        <v>47</v>
      </c>
      <c r="L827" s="1">
        <v>42403.663888888892</v>
      </c>
      <c r="M827" s="1">
        <v>42403</v>
      </c>
      <c r="N827" s="3">
        <f>INT(BrightTV_JoinedTablesnw_2026_04_16_23_55_09[[#This Row],[Viewership.RecordDate22]])</f>
        <v>42403</v>
      </c>
      <c r="O827" s="2">
        <v>0.66388888888888886</v>
      </c>
      <c r="P827" t="s">
        <v>447</v>
      </c>
      <c r="Q827">
        <v>791480</v>
      </c>
      <c r="R827" t="s">
        <v>20</v>
      </c>
    </row>
    <row r="828" spans="1:18" x14ac:dyDescent="0.25">
      <c r="A828">
        <v>793752</v>
      </c>
      <c r="B828" t="s">
        <v>49</v>
      </c>
      <c r="C828" t="s">
        <v>111</v>
      </c>
      <c r="D828" t="s">
        <v>799</v>
      </c>
      <c r="E828" t="s">
        <v>38</v>
      </c>
      <c r="F828" t="s">
        <v>25</v>
      </c>
      <c r="G828">
        <v>28</v>
      </c>
      <c r="H828" t="s">
        <v>60</v>
      </c>
      <c r="I828" t="s">
        <v>53</v>
      </c>
      <c r="J828">
        <v>793752</v>
      </c>
      <c r="K828" t="s">
        <v>18</v>
      </c>
      <c r="L828" s="1">
        <v>42424.461805555555</v>
      </c>
      <c r="M828" s="1">
        <v>42424</v>
      </c>
      <c r="N828" s="3">
        <f>INT(BrightTV_JoinedTablesnw_2026_04_16_23_55_09[[#This Row],[Viewership.RecordDate22]])</f>
        <v>42424</v>
      </c>
      <c r="O828" s="2">
        <v>0.46180555555555558</v>
      </c>
      <c r="P828" t="s">
        <v>208</v>
      </c>
      <c r="Q828">
        <v>793752</v>
      </c>
      <c r="R828" t="s">
        <v>20</v>
      </c>
    </row>
    <row r="829" spans="1:18" x14ac:dyDescent="0.25">
      <c r="A829">
        <v>788877</v>
      </c>
      <c r="B829" t="s">
        <v>680</v>
      </c>
      <c r="C829" t="s">
        <v>681</v>
      </c>
      <c r="D829" t="s">
        <v>980</v>
      </c>
      <c r="E829" t="s">
        <v>24</v>
      </c>
      <c r="F829" t="s">
        <v>96</v>
      </c>
      <c r="G829">
        <v>26</v>
      </c>
      <c r="H829" t="s">
        <v>60</v>
      </c>
      <c r="I829" t="s">
        <v>981</v>
      </c>
      <c r="J829">
        <v>788877</v>
      </c>
      <c r="K829" t="s">
        <v>32</v>
      </c>
      <c r="L829" s="1">
        <v>42379.734722222223</v>
      </c>
      <c r="M829" s="1">
        <v>42379</v>
      </c>
      <c r="N829" s="3">
        <f>INT(BrightTV_JoinedTablesnw_2026_04_16_23_55_09[[#This Row],[Viewership.RecordDate22]])</f>
        <v>42379</v>
      </c>
      <c r="O829" s="2">
        <v>0.73472222222222228</v>
      </c>
      <c r="P829" t="s">
        <v>504</v>
      </c>
      <c r="Q829">
        <v>788877</v>
      </c>
      <c r="R829" t="s">
        <v>20</v>
      </c>
    </row>
    <row r="830" spans="1:18" x14ac:dyDescent="0.25">
      <c r="A830">
        <v>788877</v>
      </c>
      <c r="B830" t="s">
        <v>680</v>
      </c>
      <c r="C830" t="s">
        <v>681</v>
      </c>
      <c r="D830" t="s">
        <v>980</v>
      </c>
      <c r="E830" t="s">
        <v>24</v>
      </c>
      <c r="F830" t="s">
        <v>96</v>
      </c>
      <c r="G830">
        <v>26</v>
      </c>
      <c r="H830" t="s">
        <v>60</v>
      </c>
      <c r="I830" t="s">
        <v>981</v>
      </c>
      <c r="J830">
        <v>788877</v>
      </c>
      <c r="K830" t="s">
        <v>77</v>
      </c>
      <c r="L830" s="1">
        <v>42379.656944444447</v>
      </c>
      <c r="M830" s="1">
        <v>42379</v>
      </c>
      <c r="N830" s="3">
        <f>INT(BrightTV_JoinedTablesnw_2026_04_16_23_55_09[[#This Row],[Viewership.RecordDate22]])</f>
        <v>42379</v>
      </c>
      <c r="O830" s="2">
        <v>0.65694444444444444</v>
      </c>
      <c r="P830" t="s">
        <v>982</v>
      </c>
      <c r="Q830">
        <v>788877</v>
      </c>
      <c r="R830" t="s">
        <v>20</v>
      </c>
    </row>
    <row r="831" spans="1:18" x14ac:dyDescent="0.25">
      <c r="A831">
        <v>788877</v>
      </c>
      <c r="B831" t="s">
        <v>680</v>
      </c>
      <c r="C831" t="s">
        <v>681</v>
      </c>
      <c r="D831" t="s">
        <v>980</v>
      </c>
      <c r="E831" t="s">
        <v>24</v>
      </c>
      <c r="F831" t="s">
        <v>96</v>
      </c>
      <c r="G831">
        <v>26</v>
      </c>
      <c r="H831" t="s">
        <v>60</v>
      </c>
      <c r="I831" t="s">
        <v>981</v>
      </c>
      <c r="J831">
        <v>788877</v>
      </c>
      <c r="K831" t="s">
        <v>32</v>
      </c>
      <c r="L831" s="1">
        <v>42376.709722222222</v>
      </c>
      <c r="M831" s="1">
        <v>42376</v>
      </c>
      <c r="N831" s="3">
        <f>INT(BrightTV_JoinedTablesnw_2026_04_16_23_55_09[[#This Row],[Viewership.RecordDate22]])</f>
        <v>42376</v>
      </c>
      <c r="O831" s="2">
        <v>0.70972222222222225</v>
      </c>
      <c r="P831" t="s">
        <v>983</v>
      </c>
      <c r="Q831">
        <v>788877</v>
      </c>
      <c r="R831" t="s">
        <v>20</v>
      </c>
    </row>
    <row r="832" spans="1:18" x14ac:dyDescent="0.25">
      <c r="A832">
        <v>788877</v>
      </c>
      <c r="B832" t="s">
        <v>680</v>
      </c>
      <c r="C832" t="s">
        <v>681</v>
      </c>
      <c r="D832" t="s">
        <v>980</v>
      </c>
      <c r="E832" t="s">
        <v>24</v>
      </c>
      <c r="F832" t="s">
        <v>96</v>
      </c>
      <c r="G832">
        <v>26</v>
      </c>
      <c r="H832" t="s">
        <v>60</v>
      </c>
      <c r="I832" t="s">
        <v>981</v>
      </c>
      <c r="J832">
        <v>788877</v>
      </c>
      <c r="K832" t="s">
        <v>129</v>
      </c>
      <c r="L832" s="1">
        <v>42377.373611111114</v>
      </c>
      <c r="M832" s="1">
        <v>42377</v>
      </c>
      <c r="N832" s="3">
        <f>INT(BrightTV_JoinedTablesnw_2026_04_16_23_55_09[[#This Row],[Viewership.RecordDate22]])</f>
        <v>42377</v>
      </c>
      <c r="O832" s="2">
        <v>0.37361111111111112</v>
      </c>
      <c r="P832" t="s">
        <v>984</v>
      </c>
      <c r="Q832">
        <v>788877</v>
      </c>
      <c r="R832" t="s">
        <v>20</v>
      </c>
    </row>
    <row r="833" spans="1:18" x14ac:dyDescent="0.25">
      <c r="A833">
        <v>788891</v>
      </c>
      <c r="B833" t="s">
        <v>542</v>
      </c>
      <c r="C833" t="s">
        <v>111</v>
      </c>
      <c r="D833" t="s">
        <v>838</v>
      </c>
      <c r="E833" t="s">
        <v>38</v>
      </c>
      <c r="F833" t="s">
        <v>96</v>
      </c>
      <c r="G833">
        <v>28</v>
      </c>
      <c r="H833" t="s">
        <v>52</v>
      </c>
      <c r="I833" t="s">
        <v>545</v>
      </c>
      <c r="J833">
        <v>788891</v>
      </c>
      <c r="K833" t="s">
        <v>54</v>
      </c>
      <c r="L833" s="1">
        <v>42440.584722222222</v>
      </c>
      <c r="M833" s="1">
        <v>42440</v>
      </c>
      <c r="N833" s="3">
        <f>INT(BrightTV_JoinedTablesnw_2026_04_16_23_55_09[[#This Row],[Viewership.RecordDate22]])</f>
        <v>42440</v>
      </c>
      <c r="O833" s="2">
        <v>0.58472222222222225</v>
      </c>
      <c r="P833" t="s">
        <v>461</v>
      </c>
      <c r="Q833">
        <v>788891</v>
      </c>
      <c r="R833" t="s">
        <v>20</v>
      </c>
    </row>
    <row r="834" spans="1:18" x14ac:dyDescent="0.25">
      <c r="A834">
        <v>788891</v>
      </c>
      <c r="B834" t="s">
        <v>542</v>
      </c>
      <c r="C834" t="s">
        <v>111</v>
      </c>
      <c r="D834" t="s">
        <v>838</v>
      </c>
      <c r="E834" t="s">
        <v>38</v>
      </c>
      <c r="F834" t="s">
        <v>96</v>
      </c>
      <c r="G834">
        <v>28</v>
      </c>
      <c r="H834" t="s">
        <v>52</v>
      </c>
      <c r="I834" t="s">
        <v>545</v>
      </c>
      <c r="J834">
        <v>788891</v>
      </c>
      <c r="K834" t="s">
        <v>32</v>
      </c>
      <c r="L834" s="1">
        <v>42440.59097222222</v>
      </c>
      <c r="M834" s="1">
        <v>42440</v>
      </c>
      <c r="N834" s="3">
        <f>INT(BrightTV_JoinedTablesnw_2026_04_16_23_55_09[[#This Row],[Viewership.RecordDate22]])</f>
        <v>42440</v>
      </c>
      <c r="O834" s="2">
        <v>0.59097222222222223</v>
      </c>
      <c r="P834" t="s">
        <v>718</v>
      </c>
      <c r="Q834">
        <v>788891</v>
      </c>
      <c r="R834" t="s">
        <v>20</v>
      </c>
    </row>
    <row r="835" spans="1:18" x14ac:dyDescent="0.25">
      <c r="A835">
        <v>788891</v>
      </c>
      <c r="B835" t="s">
        <v>542</v>
      </c>
      <c r="C835" t="s">
        <v>111</v>
      </c>
      <c r="D835" t="s">
        <v>838</v>
      </c>
      <c r="E835" t="s">
        <v>38</v>
      </c>
      <c r="F835" t="s">
        <v>96</v>
      </c>
      <c r="G835">
        <v>28</v>
      </c>
      <c r="H835" t="s">
        <v>52</v>
      </c>
      <c r="I835" t="s">
        <v>545</v>
      </c>
      <c r="J835">
        <v>788891</v>
      </c>
      <c r="K835" t="s">
        <v>62</v>
      </c>
      <c r="L835" s="1">
        <v>42400.956944444442</v>
      </c>
      <c r="M835" s="1">
        <v>42400</v>
      </c>
      <c r="N835" s="3">
        <f>INT(BrightTV_JoinedTablesnw_2026_04_16_23_55_09[[#This Row],[Viewership.RecordDate22]])</f>
        <v>42400</v>
      </c>
      <c r="O835" s="2">
        <v>0.95694444444444449</v>
      </c>
      <c r="P835" t="s">
        <v>447</v>
      </c>
      <c r="Q835">
        <v>788891</v>
      </c>
      <c r="R835" t="s">
        <v>20</v>
      </c>
    </row>
    <row r="836" spans="1:18" x14ac:dyDescent="0.25">
      <c r="A836">
        <v>788891</v>
      </c>
      <c r="B836" t="s">
        <v>542</v>
      </c>
      <c r="C836" t="s">
        <v>111</v>
      </c>
      <c r="D836" t="s">
        <v>838</v>
      </c>
      <c r="E836" t="s">
        <v>38</v>
      </c>
      <c r="F836" t="s">
        <v>96</v>
      </c>
      <c r="G836">
        <v>28</v>
      </c>
      <c r="H836" t="s">
        <v>52</v>
      </c>
      <c r="I836" t="s">
        <v>545</v>
      </c>
      <c r="J836">
        <v>788891</v>
      </c>
      <c r="K836" t="s">
        <v>32</v>
      </c>
      <c r="L836" s="1">
        <v>42440.081944444442</v>
      </c>
      <c r="M836" s="1">
        <v>42440</v>
      </c>
      <c r="N836" s="3">
        <f>INT(BrightTV_JoinedTablesnw_2026_04_16_23_55_09[[#This Row],[Viewership.RecordDate22]])</f>
        <v>42440</v>
      </c>
      <c r="O836" s="2">
        <v>8.1944444444444445E-2</v>
      </c>
      <c r="P836" t="s">
        <v>29</v>
      </c>
      <c r="Q836">
        <v>788891</v>
      </c>
      <c r="R836" t="s">
        <v>20</v>
      </c>
    </row>
    <row r="837" spans="1:18" x14ac:dyDescent="0.25">
      <c r="A837">
        <v>788893</v>
      </c>
      <c r="B837" t="s">
        <v>80</v>
      </c>
      <c r="C837" t="s">
        <v>202</v>
      </c>
      <c r="D837" t="s">
        <v>82</v>
      </c>
      <c r="E837" t="s">
        <v>38</v>
      </c>
      <c r="F837" t="s">
        <v>39</v>
      </c>
      <c r="G837">
        <v>33</v>
      </c>
      <c r="H837" t="s">
        <v>75</v>
      </c>
      <c r="I837" t="s">
        <v>83</v>
      </c>
      <c r="J837">
        <v>788893</v>
      </c>
      <c r="K837" t="s">
        <v>32</v>
      </c>
      <c r="L837" s="1">
        <v>42415.290277777778</v>
      </c>
      <c r="M837" s="1">
        <v>42415</v>
      </c>
      <c r="N837" s="3">
        <f>INT(BrightTV_JoinedTablesnw_2026_04_16_23_55_09[[#This Row],[Viewership.RecordDate22]])</f>
        <v>42415</v>
      </c>
      <c r="O837" s="2">
        <v>0.2902777777777778</v>
      </c>
      <c r="P837" t="s">
        <v>985</v>
      </c>
      <c r="Q837">
        <v>788893</v>
      </c>
      <c r="R837" t="s">
        <v>20</v>
      </c>
    </row>
    <row r="838" spans="1:18" x14ac:dyDescent="0.25">
      <c r="A838">
        <v>788893</v>
      </c>
      <c r="B838" t="s">
        <v>80</v>
      </c>
      <c r="C838" t="s">
        <v>202</v>
      </c>
      <c r="D838" t="s">
        <v>82</v>
      </c>
      <c r="E838" t="s">
        <v>38</v>
      </c>
      <c r="F838" t="s">
        <v>39</v>
      </c>
      <c r="G838">
        <v>33</v>
      </c>
      <c r="H838" t="s">
        <v>75</v>
      </c>
      <c r="I838" t="s">
        <v>83</v>
      </c>
      <c r="J838">
        <v>788893</v>
      </c>
      <c r="K838" t="s">
        <v>77</v>
      </c>
      <c r="L838" s="1">
        <v>42384.601388888892</v>
      </c>
      <c r="M838" s="1">
        <v>42384</v>
      </c>
      <c r="N838" s="3">
        <f>INT(BrightTV_JoinedTablesnw_2026_04_16_23_55_09[[#This Row],[Viewership.RecordDate22]])</f>
        <v>42384</v>
      </c>
      <c r="O838" s="2">
        <v>0.60138888888888886</v>
      </c>
      <c r="P838" t="s">
        <v>986</v>
      </c>
      <c r="Q838">
        <v>788893</v>
      </c>
      <c r="R838" t="s">
        <v>20</v>
      </c>
    </row>
    <row r="839" spans="1:18" x14ac:dyDescent="0.25">
      <c r="A839">
        <v>788893</v>
      </c>
      <c r="B839" t="s">
        <v>80</v>
      </c>
      <c r="C839" t="s">
        <v>202</v>
      </c>
      <c r="D839" t="s">
        <v>82</v>
      </c>
      <c r="E839" t="s">
        <v>38</v>
      </c>
      <c r="F839" t="s">
        <v>39</v>
      </c>
      <c r="G839">
        <v>33</v>
      </c>
      <c r="H839" t="s">
        <v>75</v>
      </c>
      <c r="I839" t="s">
        <v>83</v>
      </c>
      <c r="J839">
        <v>788893</v>
      </c>
      <c r="K839" t="s">
        <v>47</v>
      </c>
      <c r="L839" s="1">
        <v>42387.893750000003</v>
      </c>
      <c r="M839" s="1">
        <v>42387</v>
      </c>
      <c r="N839" s="3">
        <f>INT(BrightTV_JoinedTablesnw_2026_04_16_23_55_09[[#This Row],[Viewership.RecordDate22]])</f>
        <v>42387</v>
      </c>
      <c r="O839" s="2">
        <v>0.89375000000000004</v>
      </c>
      <c r="P839" t="s">
        <v>987</v>
      </c>
      <c r="Q839">
        <v>788893</v>
      </c>
      <c r="R839" t="s">
        <v>20</v>
      </c>
    </row>
    <row r="840" spans="1:18" x14ac:dyDescent="0.25">
      <c r="A840">
        <v>788893</v>
      </c>
      <c r="B840" t="s">
        <v>80</v>
      </c>
      <c r="C840" t="s">
        <v>202</v>
      </c>
      <c r="D840" t="s">
        <v>82</v>
      </c>
      <c r="E840" t="s">
        <v>38</v>
      </c>
      <c r="F840" t="s">
        <v>39</v>
      </c>
      <c r="G840">
        <v>33</v>
      </c>
      <c r="H840" t="s">
        <v>75</v>
      </c>
      <c r="I840" t="s">
        <v>83</v>
      </c>
      <c r="J840">
        <v>788893</v>
      </c>
      <c r="K840" t="s">
        <v>84</v>
      </c>
      <c r="L840" s="1">
        <v>42390.6875</v>
      </c>
      <c r="M840" s="1">
        <v>42390</v>
      </c>
      <c r="N840" s="3">
        <f>INT(BrightTV_JoinedTablesnw_2026_04_16_23_55_09[[#This Row],[Viewership.RecordDate22]])</f>
        <v>42390</v>
      </c>
      <c r="O840" s="2">
        <v>0.6875</v>
      </c>
      <c r="P840" t="s">
        <v>85</v>
      </c>
      <c r="Q840">
        <v>788893</v>
      </c>
      <c r="R840" t="s">
        <v>20</v>
      </c>
    </row>
    <row r="841" spans="1:18" x14ac:dyDescent="0.25">
      <c r="A841">
        <v>788893</v>
      </c>
      <c r="B841" t="s">
        <v>80</v>
      </c>
      <c r="C841" t="s">
        <v>202</v>
      </c>
      <c r="D841" t="s">
        <v>82</v>
      </c>
      <c r="E841" t="s">
        <v>38</v>
      </c>
      <c r="F841" t="s">
        <v>39</v>
      </c>
      <c r="G841">
        <v>33</v>
      </c>
      <c r="H841" t="s">
        <v>75</v>
      </c>
      <c r="I841" t="s">
        <v>83</v>
      </c>
      <c r="J841">
        <v>788893</v>
      </c>
      <c r="K841" t="s">
        <v>32</v>
      </c>
      <c r="L841" s="1">
        <v>42435.284722222219</v>
      </c>
      <c r="M841" s="1">
        <v>42435</v>
      </c>
      <c r="N841" s="3">
        <f>INT(BrightTV_JoinedTablesnw_2026_04_16_23_55_09[[#This Row],[Viewership.RecordDate22]])</f>
        <v>42435</v>
      </c>
      <c r="O841" s="2">
        <v>0.28472222222222221</v>
      </c>
      <c r="P841" t="s">
        <v>401</v>
      </c>
      <c r="Q841">
        <v>788893</v>
      </c>
      <c r="R841" t="s">
        <v>20</v>
      </c>
    </row>
    <row r="842" spans="1:18" x14ac:dyDescent="0.25">
      <c r="A842">
        <v>788893</v>
      </c>
      <c r="B842" t="s">
        <v>80</v>
      </c>
      <c r="C842" t="s">
        <v>202</v>
      </c>
      <c r="D842" t="s">
        <v>82</v>
      </c>
      <c r="E842" t="s">
        <v>38</v>
      </c>
      <c r="F842" t="s">
        <v>39</v>
      </c>
      <c r="G842">
        <v>33</v>
      </c>
      <c r="H842" t="s">
        <v>75</v>
      </c>
      <c r="I842" t="s">
        <v>83</v>
      </c>
      <c r="J842">
        <v>788893</v>
      </c>
      <c r="K842" t="s">
        <v>77</v>
      </c>
      <c r="L842" s="1">
        <v>42409.28402777778</v>
      </c>
      <c r="M842" s="1">
        <v>42409</v>
      </c>
      <c r="N842" s="3">
        <f>INT(BrightTV_JoinedTablesnw_2026_04_16_23_55_09[[#This Row],[Viewership.RecordDate22]])</f>
        <v>42409</v>
      </c>
      <c r="O842" s="2">
        <v>0.28402777777777777</v>
      </c>
      <c r="P842" t="s">
        <v>988</v>
      </c>
      <c r="Q842">
        <v>788893</v>
      </c>
      <c r="R842" t="s">
        <v>20</v>
      </c>
    </row>
    <row r="843" spans="1:18" x14ac:dyDescent="0.25">
      <c r="A843">
        <v>788911</v>
      </c>
      <c r="B843" t="s">
        <v>228</v>
      </c>
      <c r="C843" t="s">
        <v>22</v>
      </c>
      <c r="D843" t="s">
        <v>229</v>
      </c>
      <c r="E843" t="s">
        <v>38</v>
      </c>
      <c r="F843" t="s">
        <v>39</v>
      </c>
      <c r="G843">
        <v>25</v>
      </c>
      <c r="H843" t="s">
        <v>40</v>
      </c>
      <c r="I843" t="s">
        <v>230</v>
      </c>
      <c r="J843">
        <v>788911</v>
      </c>
      <c r="K843" t="s">
        <v>77</v>
      </c>
      <c r="L843" s="1">
        <v>42412.964583333334</v>
      </c>
      <c r="M843" s="1">
        <v>42412</v>
      </c>
      <c r="N843" s="3">
        <f>INT(BrightTV_JoinedTablesnw_2026_04_16_23_55_09[[#This Row],[Viewership.RecordDate22]])</f>
        <v>42412</v>
      </c>
      <c r="O843" s="2">
        <v>0.96458333333333335</v>
      </c>
      <c r="P843" t="s">
        <v>130</v>
      </c>
      <c r="Q843">
        <v>788911</v>
      </c>
      <c r="R843" t="s">
        <v>20</v>
      </c>
    </row>
    <row r="844" spans="1:18" x14ac:dyDescent="0.25">
      <c r="A844">
        <v>788922</v>
      </c>
      <c r="B844" t="s">
        <v>49</v>
      </c>
      <c r="C844" t="s">
        <v>298</v>
      </c>
      <c r="D844" t="s">
        <v>611</v>
      </c>
      <c r="E844" t="s">
        <v>38</v>
      </c>
      <c r="F844" t="s">
        <v>96</v>
      </c>
      <c r="G844">
        <v>52</v>
      </c>
      <c r="H844" t="s">
        <v>60</v>
      </c>
      <c r="I844" t="s">
        <v>53</v>
      </c>
      <c r="J844">
        <v>788922</v>
      </c>
      <c r="K844" t="s">
        <v>18</v>
      </c>
      <c r="L844" s="1">
        <v>42434.752083333333</v>
      </c>
      <c r="M844" s="1">
        <v>42434</v>
      </c>
      <c r="N844" s="3">
        <f>INT(BrightTV_JoinedTablesnw_2026_04_16_23_55_09[[#This Row],[Viewership.RecordDate22]])</f>
        <v>42434</v>
      </c>
      <c r="O844" s="2">
        <v>0.75208333333333333</v>
      </c>
      <c r="P844" t="s">
        <v>667</v>
      </c>
      <c r="Q844">
        <v>788922</v>
      </c>
      <c r="R844" t="s">
        <v>20</v>
      </c>
    </row>
    <row r="845" spans="1:18" x14ac:dyDescent="0.25">
      <c r="A845">
        <v>788922</v>
      </c>
      <c r="B845" t="s">
        <v>49</v>
      </c>
      <c r="C845" t="s">
        <v>298</v>
      </c>
      <c r="D845" t="s">
        <v>611</v>
      </c>
      <c r="E845" t="s">
        <v>38</v>
      </c>
      <c r="F845" t="s">
        <v>96</v>
      </c>
      <c r="G845">
        <v>52</v>
      </c>
      <c r="H845" t="s">
        <v>60</v>
      </c>
      <c r="I845" t="s">
        <v>53</v>
      </c>
      <c r="J845">
        <v>788922</v>
      </c>
      <c r="K845" t="s">
        <v>18</v>
      </c>
      <c r="L845" s="1">
        <v>42427.754166666666</v>
      </c>
      <c r="M845" s="1">
        <v>42427</v>
      </c>
      <c r="N845" s="3">
        <f>INT(BrightTV_JoinedTablesnw_2026_04_16_23_55_09[[#This Row],[Viewership.RecordDate22]])</f>
        <v>42427</v>
      </c>
      <c r="O845" s="2">
        <v>0.75416666666666665</v>
      </c>
      <c r="P845" t="s">
        <v>752</v>
      </c>
      <c r="Q845">
        <v>788922</v>
      </c>
      <c r="R845" t="s">
        <v>20</v>
      </c>
    </row>
    <row r="846" spans="1:18" x14ac:dyDescent="0.25">
      <c r="A846">
        <v>788930</v>
      </c>
      <c r="B846" t="s">
        <v>484</v>
      </c>
      <c r="C846" t="s">
        <v>543</v>
      </c>
      <c r="D846" t="s">
        <v>989</v>
      </c>
      <c r="E846" t="s">
        <v>38</v>
      </c>
      <c r="F846" t="s">
        <v>25</v>
      </c>
      <c r="G846">
        <v>31</v>
      </c>
      <c r="H846" t="s">
        <v>280</v>
      </c>
      <c r="I846" t="s">
        <v>486</v>
      </c>
      <c r="J846">
        <v>788930</v>
      </c>
      <c r="K846" t="s">
        <v>496</v>
      </c>
      <c r="L846" s="1">
        <v>42402.1</v>
      </c>
      <c r="M846" s="1">
        <v>42402</v>
      </c>
      <c r="N846" s="3">
        <f>INT(BrightTV_JoinedTablesnw_2026_04_16_23_55_09[[#This Row],[Viewership.RecordDate22]])</f>
        <v>42402</v>
      </c>
      <c r="O846" s="2">
        <v>0.1</v>
      </c>
      <c r="P846" t="s">
        <v>288</v>
      </c>
      <c r="Q846">
        <v>788930</v>
      </c>
      <c r="R846" t="s">
        <v>20</v>
      </c>
    </row>
    <row r="847" spans="1:18" x14ac:dyDescent="0.25">
      <c r="A847">
        <v>788930</v>
      </c>
      <c r="B847" t="s">
        <v>484</v>
      </c>
      <c r="C847" t="s">
        <v>543</v>
      </c>
      <c r="D847" t="s">
        <v>989</v>
      </c>
      <c r="E847" t="s">
        <v>38</v>
      </c>
      <c r="F847" t="s">
        <v>25</v>
      </c>
      <c r="G847">
        <v>31</v>
      </c>
      <c r="H847" t="s">
        <v>280</v>
      </c>
      <c r="I847" t="s">
        <v>486</v>
      </c>
      <c r="J847">
        <v>788930</v>
      </c>
      <c r="K847" t="s">
        <v>129</v>
      </c>
      <c r="L847" s="1">
        <v>42407.07708333333</v>
      </c>
      <c r="M847" s="1">
        <v>42407</v>
      </c>
      <c r="N847" s="3">
        <f>INT(BrightTV_JoinedTablesnw_2026_04_16_23_55_09[[#This Row],[Viewership.RecordDate22]])</f>
        <v>42407</v>
      </c>
      <c r="O847" s="2">
        <v>7.7083333333333337E-2</v>
      </c>
      <c r="P847" t="s">
        <v>990</v>
      </c>
      <c r="Q847">
        <v>788930</v>
      </c>
      <c r="R847" t="s">
        <v>20</v>
      </c>
    </row>
    <row r="848" spans="1:18" x14ac:dyDescent="0.25">
      <c r="A848">
        <v>788930</v>
      </c>
      <c r="B848" t="s">
        <v>484</v>
      </c>
      <c r="C848" t="s">
        <v>543</v>
      </c>
      <c r="D848" t="s">
        <v>989</v>
      </c>
      <c r="E848" t="s">
        <v>38</v>
      </c>
      <c r="F848" t="s">
        <v>25</v>
      </c>
      <c r="G848">
        <v>31</v>
      </c>
      <c r="H848" t="s">
        <v>280</v>
      </c>
      <c r="I848" t="s">
        <v>486</v>
      </c>
      <c r="J848">
        <v>788930</v>
      </c>
      <c r="K848" t="s">
        <v>186</v>
      </c>
      <c r="L848" s="1">
        <v>42407.168749999997</v>
      </c>
      <c r="M848" s="1">
        <v>42407</v>
      </c>
      <c r="N848" s="3">
        <f>INT(BrightTV_JoinedTablesnw_2026_04_16_23_55_09[[#This Row],[Viewership.RecordDate22]])</f>
        <v>42407</v>
      </c>
      <c r="O848" s="2">
        <v>0.16875000000000001</v>
      </c>
      <c r="P848" t="s">
        <v>738</v>
      </c>
      <c r="Q848">
        <v>788930</v>
      </c>
      <c r="R848" t="s">
        <v>20</v>
      </c>
    </row>
    <row r="849" spans="1:18" x14ac:dyDescent="0.25">
      <c r="A849">
        <v>788936</v>
      </c>
      <c r="B849" t="s">
        <v>154</v>
      </c>
      <c r="C849" t="s">
        <v>361</v>
      </c>
      <c r="D849" t="s">
        <v>156</v>
      </c>
      <c r="E849" t="s">
        <v>38</v>
      </c>
      <c r="F849" t="s">
        <v>39</v>
      </c>
      <c r="G849">
        <v>22</v>
      </c>
      <c r="H849" t="s">
        <v>138</v>
      </c>
      <c r="I849" t="s">
        <v>157</v>
      </c>
      <c r="J849">
        <v>788936</v>
      </c>
      <c r="K849" t="s">
        <v>169</v>
      </c>
      <c r="L849" s="1">
        <v>42382.87777777778</v>
      </c>
      <c r="M849" s="1">
        <v>42382</v>
      </c>
      <c r="N849" s="3">
        <f>INT(BrightTV_JoinedTablesnw_2026_04_16_23_55_09[[#This Row],[Viewership.RecordDate22]])</f>
        <v>42382</v>
      </c>
      <c r="O849" s="2">
        <v>0.87777777777777777</v>
      </c>
      <c r="P849" t="s">
        <v>674</v>
      </c>
      <c r="Q849">
        <v>788936</v>
      </c>
      <c r="R849" t="s">
        <v>20</v>
      </c>
    </row>
    <row r="850" spans="1:18" x14ac:dyDescent="0.25">
      <c r="A850">
        <v>788936</v>
      </c>
      <c r="B850" t="s">
        <v>154</v>
      </c>
      <c r="C850" t="s">
        <v>361</v>
      </c>
      <c r="D850" t="s">
        <v>156</v>
      </c>
      <c r="E850" t="s">
        <v>38</v>
      </c>
      <c r="F850" t="s">
        <v>39</v>
      </c>
      <c r="G850">
        <v>22</v>
      </c>
      <c r="H850" t="s">
        <v>138</v>
      </c>
      <c r="I850" t="s">
        <v>157</v>
      </c>
      <c r="J850">
        <v>788936</v>
      </c>
      <c r="K850" t="s">
        <v>47</v>
      </c>
      <c r="L850" s="1">
        <v>42384.146527777775</v>
      </c>
      <c r="M850" s="1">
        <v>42384</v>
      </c>
      <c r="N850" s="3">
        <f>INT(BrightTV_JoinedTablesnw_2026_04_16_23_55_09[[#This Row],[Viewership.RecordDate22]])</f>
        <v>42384</v>
      </c>
      <c r="O850" s="2">
        <v>0.14652777777777778</v>
      </c>
      <c r="P850" t="s">
        <v>991</v>
      </c>
      <c r="Q850">
        <v>788936</v>
      </c>
      <c r="R850" t="s">
        <v>20</v>
      </c>
    </row>
    <row r="851" spans="1:18" x14ac:dyDescent="0.25">
      <c r="A851">
        <v>788936</v>
      </c>
      <c r="B851" t="s">
        <v>154</v>
      </c>
      <c r="C851" t="s">
        <v>361</v>
      </c>
      <c r="D851" t="s">
        <v>156</v>
      </c>
      <c r="E851" t="s">
        <v>38</v>
      </c>
      <c r="F851" t="s">
        <v>39</v>
      </c>
      <c r="G851">
        <v>22</v>
      </c>
      <c r="H851" t="s">
        <v>138</v>
      </c>
      <c r="I851" t="s">
        <v>157</v>
      </c>
      <c r="J851">
        <v>788936</v>
      </c>
      <c r="K851" t="s">
        <v>54</v>
      </c>
      <c r="L851" s="1">
        <v>42448.397222222222</v>
      </c>
      <c r="M851" s="1">
        <v>42448</v>
      </c>
      <c r="N851" s="3">
        <f>INT(BrightTV_JoinedTablesnw_2026_04_16_23_55_09[[#This Row],[Viewership.RecordDate22]])</f>
        <v>42448</v>
      </c>
      <c r="O851" s="2">
        <v>0.3972222222222222</v>
      </c>
      <c r="P851" t="s">
        <v>873</v>
      </c>
      <c r="Q851">
        <v>788936</v>
      </c>
      <c r="R851" t="s">
        <v>20</v>
      </c>
    </row>
    <row r="852" spans="1:18" x14ac:dyDescent="0.25">
      <c r="A852">
        <v>788936</v>
      </c>
      <c r="B852" t="s">
        <v>154</v>
      </c>
      <c r="C852" t="s">
        <v>361</v>
      </c>
      <c r="D852" t="s">
        <v>156</v>
      </c>
      <c r="E852" t="s">
        <v>38</v>
      </c>
      <c r="F852" t="s">
        <v>39</v>
      </c>
      <c r="G852">
        <v>22</v>
      </c>
      <c r="H852" t="s">
        <v>138</v>
      </c>
      <c r="I852" t="s">
        <v>157</v>
      </c>
      <c r="J852">
        <v>788936</v>
      </c>
      <c r="K852" t="s">
        <v>32</v>
      </c>
      <c r="L852" s="1">
        <v>42448.754166666666</v>
      </c>
      <c r="M852" s="1">
        <v>42448</v>
      </c>
      <c r="N852" s="3">
        <f>INT(BrightTV_JoinedTablesnw_2026_04_16_23_55_09[[#This Row],[Viewership.RecordDate22]])</f>
        <v>42448</v>
      </c>
      <c r="O852" s="2">
        <v>0.75416666666666665</v>
      </c>
      <c r="P852" t="s">
        <v>992</v>
      </c>
      <c r="Q852">
        <v>788936</v>
      </c>
      <c r="R852" t="s">
        <v>20</v>
      </c>
    </row>
    <row r="853" spans="1:18" x14ac:dyDescent="0.25">
      <c r="A853">
        <v>788936</v>
      </c>
      <c r="B853" t="s">
        <v>154</v>
      </c>
      <c r="C853" t="s">
        <v>361</v>
      </c>
      <c r="D853" t="s">
        <v>156</v>
      </c>
      <c r="E853" t="s">
        <v>38</v>
      </c>
      <c r="F853" t="s">
        <v>39</v>
      </c>
      <c r="G853">
        <v>22</v>
      </c>
      <c r="H853" t="s">
        <v>138</v>
      </c>
      <c r="I853" t="s">
        <v>157</v>
      </c>
      <c r="J853">
        <v>788936</v>
      </c>
      <c r="K853" t="s">
        <v>84</v>
      </c>
      <c r="L853" s="1">
        <v>42449.64166666667</v>
      </c>
      <c r="M853" s="1">
        <v>42449</v>
      </c>
      <c r="N853" s="3">
        <f>INT(BrightTV_JoinedTablesnw_2026_04_16_23_55_09[[#This Row],[Viewership.RecordDate22]])</f>
        <v>42449</v>
      </c>
      <c r="O853" s="2">
        <v>0.64166666666666672</v>
      </c>
      <c r="P853" t="s">
        <v>825</v>
      </c>
      <c r="Q853">
        <v>788936</v>
      </c>
      <c r="R853" t="s">
        <v>20</v>
      </c>
    </row>
    <row r="854" spans="1:18" x14ac:dyDescent="0.25">
      <c r="A854">
        <v>788941</v>
      </c>
      <c r="B854" t="s">
        <v>325</v>
      </c>
      <c r="C854" t="s">
        <v>87</v>
      </c>
      <c r="D854" t="s">
        <v>993</v>
      </c>
      <c r="E854" t="s">
        <v>38</v>
      </c>
      <c r="F854" t="s">
        <v>25</v>
      </c>
      <c r="G854">
        <v>35</v>
      </c>
      <c r="H854" t="s">
        <v>60</v>
      </c>
      <c r="I854" t="s">
        <v>327</v>
      </c>
      <c r="J854">
        <v>788941</v>
      </c>
      <c r="K854" t="s">
        <v>47</v>
      </c>
      <c r="L854" s="1">
        <v>42411.838194444441</v>
      </c>
      <c r="M854" s="1">
        <v>42411</v>
      </c>
      <c r="N854" s="3">
        <f>INT(BrightTV_JoinedTablesnw_2026_04_16_23_55_09[[#This Row],[Viewership.RecordDate22]])</f>
        <v>42411</v>
      </c>
      <c r="O854" s="2">
        <v>0.83819444444444446</v>
      </c>
      <c r="P854" t="s">
        <v>994</v>
      </c>
      <c r="Q854">
        <v>788941</v>
      </c>
      <c r="R854" t="s">
        <v>20</v>
      </c>
    </row>
    <row r="855" spans="1:18" x14ac:dyDescent="0.25">
      <c r="A855">
        <v>788941</v>
      </c>
      <c r="B855" t="s">
        <v>325</v>
      </c>
      <c r="C855" t="s">
        <v>87</v>
      </c>
      <c r="D855" t="s">
        <v>993</v>
      </c>
      <c r="E855" t="s">
        <v>38</v>
      </c>
      <c r="F855" t="s">
        <v>25</v>
      </c>
      <c r="G855">
        <v>35</v>
      </c>
      <c r="H855" t="s">
        <v>60</v>
      </c>
      <c r="I855" t="s">
        <v>327</v>
      </c>
      <c r="J855">
        <v>788941</v>
      </c>
      <c r="K855" t="s">
        <v>47</v>
      </c>
      <c r="L855" s="1">
        <v>42419.799305555556</v>
      </c>
      <c r="M855" s="1">
        <v>42419</v>
      </c>
      <c r="N855" s="3">
        <f>INT(BrightTV_JoinedTablesnw_2026_04_16_23_55_09[[#This Row],[Viewership.RecordDate22]])</f>
        <v>42419</v>
      </c>
      <c r="O855" s="2">
        <v>0.7993055555555556</v>
      </c>
      <c r="P855" t="s">
        <v>119</v>
      </c>
      <c r="Q855">
        <v>788941</v>
      </c>
      <c r="R855" t="s">
        <v>20</v>
      </c>
    </row>
    <row r="856" spans="1:18" x14ac:dyDescent="0.25">
      <c r="A856">
        <v>788942</v>
      </c>
      <c r="B856" t="s">
        <v>188</v>
      </c>
      <c r="C856" t="s">
        <v>36</v>
      </c>
      <c r="D856" t="s">
        <v>418</v>
      </c>
      <c r="E856" t="s">
        <v>38</v>
      </c>
      <c r="F856" t="s">
        <v>96</v>
      </c>
      <c r="G856">
        <v>32</v>
      </c>
      <c r="H856" t="s">
        <v>60</v>
      </c>
      <c r="I856" t="s">
        <v>190</v>
      </c>
      <c r="J856">
        <v>788942</v>
      </c>
      <c r="K856" t="s">
        <v>30</v>
      </c>
      <c r="L856" s="1">
        <v>42411.271527777775</v>
      </c>
      <c r="M856" s="1">
        <v>42411</v>
      </c>
      <c r="N856" s="3">
        <f>INT(BrightTV_JoinedTablesnw_2026_04_16_23_55_09[[#This Row],[Viewership.RecordDate22]])</f>
        <v>42411</v>
      </c>
      <c r="O856" s="2">
        <v>0.27152777777777776</v>
      </c>
      <c r="P856" t="s">
        <v>175</v>
      </c>
      <c r="Q856">
        <v>788942</v>
      </c>
      <c r="R856" t="s">
        <v>20</v>
      </c>
    </row>
    <row r="857" spans="1:18" x14ac:dyDescent="0.25">
      <c r="A857">
        <v>788945</v>
      </c>
      <c r="B857" t="s">
        <v>600</v>
      </c>
      <c r="C857" t="s">
        <v>136</v>
      </c>
      <c r="D857" t="s">
        <v>995</v>
      </c>
      <c r="E857" t="s">
        <v>38</v>
      </c>
      <c r="F857" t="s">
        <v>39</v>
      </c>
      <c r="G857">
        <v>33</v>
      </c>
      <c r="H857" t="s">
        <v>252</v>
      </c>
      <c r="I857" t="s">
        <v>602</v>
      </c>
      <c r="J857">
        <v>788945</v>
      </c>
      <c r="K857" t="s">
        <v>129</v>
      </c>
      <c r="L857" s="1">
        <v>42414.146527777775</v>
      </c>
      <c r="M857" s="1">
        <v>42414</v>
      </c>
      <c r="N857" s="3">
        <f>INT(BrightTV_JoinedTablesnw_2026_04_16_23_55_09[[#This Row],[Viewership.RecordDate22]])</f>
        <v>42414</v>
      </c>
      <c r="O857" s="2">
        <v>0.14652777777777778</v>
      </c>
      <c r="P857" t="s">
        <v>905</v>
      </c>
      <c r="Q857">
        <v>788945</v>
      </c>
      <c r="R857" t="s">
        <v>20</v>
      </c>
    </row>
    <row r="858" spans="1:18" x14ac:dyDescent="0.25">
      <c r="A858">
        <v>788947</v>
      </c>
      <c r="B858" t="s">
        <v>398</v>
      </c>
      <c r="C858" t="s">
        <v>271</v>
      </c>
      <c r="D858" t="s">
        <v>996</v>
      </c>
      <c r="E858" t="s">
        <v>38</v>
      </c>
      <c r="F858" t="s">
        <v>39</v>
      </c>
      <c r="G858">
        <v>39</v>
      </c>
      <c r="H858" t="s">
        <v>52</v>
      </c>
      <c r="I858" t="s">
        <v>400</v>
      </c>
      <c r="J858">
        <v>788947</v>
      </c>
      <c r="K858" t="s">
        <v>54</v>
      </c>
      <c r="L858" s="1">
        <v>42410.96597222222</v>
      </c>
      <c r="M858" s="1">
        <v>42410</v>
      </c>
      <c r="N858" s="3">
        <f>INT(BrightTV_JoinedTablesnw_2026_04_16_23_55_09[[#This Row],[Viewership.RecordDate22]])</f>
        <v>42410</v>
      </c>
      <c r="O858" s="2">
        <v>0.96597222222222223</v>
      </c>
      <c r="P858" t="s">
        <v>621</v>
      </c>
      <c r="Q858">
        <v>788947</v>
      </c>
      <c r="R858" t="s">
        <v>20</v>
      </c>
    </row>
    <row r="859" spans="1:18" x14ac:dyDescent="0.25">
      <c r="A859">
        <v>788949</v>
      </c>
      <c r="B859" t="s">
        <v>777</v>
      </c>
      <c r="C859" t="s">
        <v>22</v>
      </c>
      <c r="D859" t="s">
        <v>966</v>
      </c>
      <c r="E859" t="s">
        <v>38</v>
      </c>
      <c r="F859" t="s">
        <v>25</v>
      </c>
      <c r="G859">
        <v>29</v>
      </c>
      <c r="H859" t="s">
        <v>40</v>
      </c>
      <c r="I859" t="s">
        <v>779</v>
      </c>
      <c r="J859">
        <v>788949</v>
      </c>
      <c r="K859" t="s">
        <v>47</v>
      </c>
      <c r="L859" s="1">
        <v>42453.532638888886</v>
      </c>
      <c r="M859" s="1">
        <v>42453</v>
      </c>
      <c r="N859" s="3">
        <f>INT(BrightTV_JoinedTablesnw_2026_04_16_23_55_09[[#This Row],[Viewership.RecordDate22]])</f>
        <v>42453</v>
      </c>
      <c r="O859" s="2">
        <v>0.53263888888888888</v>
      </c>
      <c r="P859" t="s">
        <v>750</v>
      </c>
      <c r="Q859">
        <v>788949</v>
      </c>
      <c r="R859" t="s">
        <v>20</v>
      </c>
    </row>
    <row r="860" spans="1:18" x14ac:dyDescent="0.25">
      <c r="A860">
        <v>788949</v>
      </c>
      <c r="B860" t="s">
        <v>777</v>
      </c>
      <c r="C860" t="s">
        <v>22</v>
      </c>
      <c r="D860" t="s">
        <v>966</v>
      </c>
      <c r="E860" t="s">
        <v>38</v>
      </c>
      <c r="F860" t="s">
        <v>25</v>
      </c>
      <c r="G860">
        <v>29</v>
      </c>
      <c r="H860" t="s">
        <v>40</v>
      </c>
      <c r="I860" t="s">
        <v>779</v>
      </c>
      <c r="J860">
        <v>788949</v>
      </c>
      <c r="K860" t="s">
        <v>47</v>
      </c>
      <c r="L860" s="1">
        <v>42375.638888888891</v>
      </c>
      <c r="M860" s="1">
        <v>42375</v>
      </c>
      <c r="N860" s="3">
        <f>INT(BrightTV_JoinedTablesnw_2026_04_16_23_55_09[[#This Row],[Viewership.RecordDate22]])</f>
        <v>42375</v>
      </c>
      <c r="O860" s="2">
        <v>0.63888888888888884</v>
      </c>
      <c r="P860" t="s">
        <v>447</v>
      </c>
      <c r="Q860">
        <v>788949</v>
      </c>
      <c r="R860" t="s">
        <v>20</v>
      </c>
    </row>
    <row r="861" spans="1:18" x14ac:dyDescent="0.25">
      <c r="A861">
        <v>788949</v>
      </c>
      <c r="B861" t="s">
        <v>777</v>
      </c>
      <c r="C861" t="s">
        <v>22</v>
      </c>
      <c r="D861" t="s">
        <v>966</v>
      </c>
      <c r="E861" t="s">
        <v>38</v>
      </c>
      <c r="F861" t="s">
        <v>25</v>
      </c>
      <c r="G861">
        <v>29</v>
      </c>
      <c r="H861" t="s">
        <v>40</v>
      </c>
      <c r="I861" t="s">
        <v>779</v>
      </c>
      <c r="J861">
        <v>788949</v>
      </c>
      <c r="K861" t="s">
        <v>47</v>
      </c>
      <c r="L861" s="1">
        <v>42374.665277777778</v>
      </c>
      <c r="M861" s="1">
        <v>42374</v>
      </c>
      <c r="N861" s="3">
        <f>INT(BrightTV_JoinedTablesnw_2026_04_16_23_55_09[[#This Row],[Viewership.RecordDate22]])</f>
        <v>42374</v>
      </c>
      <c r="O861" s="2">
        <v>0.66527777777777775</v>
      </c>
      <c r="P861" t="s">
        <v>997</v>
      </c>
      <c r="Q861">
        <v>788949</v>
      </c>
      <c r="R861" t="s">
        <v>20</v>
      </c>
    </row>
    <row r="862" spans="1:18" x14ac:dyDescent="0.25">
      <c r="A862">
        <v>788949</v>
      </c>
      <c r="B862" t="s">
        <v>777</v>
      </c>
      <c r="C862" t="s">
        <v>22</v>
      </c>
      <c r="D862" t="s">
        <v>966</v>
      </c>
      <c r="E862" t="s">
        <v>38</v>
      </c>
      <c r="F862" t="s">
        <v>25</v>
      </c>
      <c r="G862">
        <v>29</v>
      </c>
      <c r="H862" t="s">
        <v>40</v>
      </c>
      <c r="I862" t="s">
        <v>779</v>
      </c>
      <c r="J862">
        <v>788949</v>
      </c>
      <c r="K862" t="s">
        <v>18</v>
      </c>
      <c r="L862" s="1">
        <v>42449.661111111112</v>
      </c>
      <c r="M862" s="1">
        <v>42449</v>
      </c>
      <c r="N862" s="3">
        <f>INT(BrightTV_JoinedTablesnw_2026_04_16_23_55_09[[#This Row],[Viewership.RecordDate22]])</f>
        <v>42449</v>
      </c>
      <c r="O862" s="2">
        <v>0.66111111111111109</v>
      </c>
      <c r="P862" t="s">
        <v>998</v>
      </c>
      <c r="Q862">
        <v>788949</v>
      </c>
      <c r="R862" t="s">
        <v>20</v>
      </c>
    </row>
    <row r="863" spans="1:18" x14ac:dyDescent="0.25">
      <c r="A863">
        <v>788949</v>
      </c>
      <c r="B863" t="s">
        <v>777</v>
      </c>
      <c r="C863" t="s">
        <v>22</v>
      </c>
      <c r="D863" t="s">
        <v>966</v>
      </c>
      <c r="E863" t="s">
        <v>38</v>
      </c>
      <c r="F863" t="s">
        <v>25</v>
      </c>
      <c r="G863">
        <v>29</v>
      </c>
      <c r="H863" t="s">
        <v>40</v>
      </c>
      <c r="I863" t="s">
        <v>779</v>
      </c>
      <c r="J863">
        <v>788949</v>
      </c>
      <c r="K863" t="s">
        <v>62</v>
      </c>
      <c r="L863" s="1">
        <v>42403.898611111108</v>
      </c>
      <c r="M863" s="1">
        <v>42403</v>
      </c>
      <c r="N863" s="3">
        <f>INT(BrightTV_JoinedTablesnw_2026_04_16_23_55_09[[#This Row],[Viewership.RecordDate22]])</f>
        <v>42403</v>
      </c>
      <c r="O863" s="2">
        <v>0.89861111111111114</v>
      </c>
      <c r="P863" t="s">
        <v>701</v>
      </c>
      <c r="Q863">
        <v>788949</v>
      </c>
      <c r="R863" t="s">
        <v>20</v>
      </c>
    </row>
    <row r="864" spans="1:18" x14ac:dyDescent="0.25">
      <c r="A864">
        <v>788951</v>
      </c>
      <c r="B864" t="s">
        <v>192</v>
      </c>
      <c r="C864" t="s">
        <v>271</v>
      </c>
      <c r="D864" t="s">
        <v>999</v>
      </c>
      <c r="E864" t="s">
        <v>38</v>
      </c>
      <c r="F864" t="s">
        <v>39</v>
      </c>
      <c r="G864">
        <v>37</v>
      </c>
      <c r="H864" t="s">
        <v>52</v>
      </c>
      <c r="I864" t="s">
        <v>195</v>
      </c>
      <c r="J864">
        <v>788951</v>
      </c>
      <c r="K864" t="s">
        <v>84</v>
      </c>
      <c r="L864" s="1">
        <v>42407.619444444441</v>
      </c>
      <c r="M864" s="1">
        <v>42407</v>
      </c>
      <c r="N864" s="3">
        <f>INT(BrightTV_JoinedTablesnw_2026_04_16_23_55_09[[#This Row],[Viewership.RecordDate22]])</f>
        <v>42407</v>
      </c>
      <c r="O864" s="2">
        <v>0.61944444444444446</v>
      </c>
      <c r="P864" t="s">
        <v>1000</v>
      </c>
      <c r="Q864">
        <v>788951</v>
      </c>
      <c r="R864" t="s">
        <v>20</v>
      </c>
    </row>
    <row r="865" spans="1:18" x14ac:dyDescent="0.25">
      <c r="A865">
        <v>788954</v>
      </c>
      <c r="B865" t="s">
        <v>49</v>
      </c>
      <c r="C865" t="s">
        <v>525</v>
      </c>
      <c r="D865" t="s">
        <v>1001</v>
      </c>
      <c r="E865" t="s">
        <v>38</v>
      </c>
      <c r="F865" t="s">
        <v>39</v>
      </c>
      <c r="G865">
        <v>41</v>
      </c>
      <c r="H865" t="s">
        <v>40</v>
      </c>
      <c r="I865" t="s">
        <v>53</v>
      </c>
      <c r="J865">
        <v>788954</v>
      </c>
      <c r="K865" t="s">
        <v>77</v>
      </c>
      <c r="L865" s="1">
        <v>42390.952777777777</v>
      </c>
      <c r="M865" s="1">
        <v>42390</v>
      </c>
      <c r="N865" s="3">
        <f>INT(BrightTV_JoinedTablesnw_2026_04_16_23_55_09[[#This Row],[Viewership.RecordDate22]])</f>
        <v>42390</v>
      </c>
      <c r="O865" s="2">
        <v>0.95277777777777772</v>
      </c>
      <c r="P865" t="s">
        <v>289</v>
      </c>
      <c r="Q865">
        <v>788954</v>
      </c>
      <c r="R865" t="s">
        <v>20</v>
      </c>
    </row>
    <row r="866" spans="1:18" x14ac:dyDescent="0.25">
      <c r="A866">
        <v>788954</v>
      </c>
      <c r="B866" t="s">
        <v>49</v>
      </c>
      <c r="C866" t="s">
        <v>525</v>
      </c>
      <c r="D866" t="s">
        <v>1001</v>
      </c>
      <c r="E866" t="s">
        <v>38</v>
      </c>
      <c r="F866" t="s">
        <v>39</v>
      </c>
      <c r="G866">
        <v>41</v>
      </c>
      <c r="H866" t="s">
        <v>40</v>
      </c>
      <c r="I866" t="s">
        <v>53</v>
      </c>
      <c r="J866">
        <v>788954</v>
      </c>
      <c r="K866" t="s">
        <v>186</v>
      </c>
      <c r="L866" s="1">
        <v>42388.805555555555</v>
      </c>
      <c r="M866" s="1">
        <v>42388</v>
      </c>
      <c r="N866" s="3">
        <f>INT(BrightTV_JoinedTablesnw_2026_04_16_23_55_09[[#This Row],[Viewership.RecordDate22]])</f>
        <v>42388</v>
      </c>
      <c r="O866" s="2">
        <v>0.80555555555555558</v>
      </c>
      <c r="P866" t="s">
        <v>809</v>
      </c>
      <c r="Q866">
        <v>788954</v>
      </c>
      <c r="R866" t="s">
        <v>20</v>
      </c>
    </row>
    <row r="867" spans="1:18" x14ac:dyDescent="0.25">
      <c r="A867">
        <v>788958</v>
      </c>
      <c r="B867" t="s">
        <v>86</v>
      </c>
      <c r="C867" t="s">
        <v>148</v>
      </c>
      <c r="D867" t="s">
        <v>451</v>
      </c>
      <c r="E867" t="s">
        <v>38</v>
      </c>
      <c r="F867" t="s">
        <v>25</v>
      </c>
      <c r="G867">
        <v>38</v>
      </c>
      <c r="H867" t="s">
        <v>52</v>
      </c>
      <c r="I867" t="s">
        <v>90</v>
      </c>
      <c r="J867">
        <v>788958</v>
      </c>
      <c r="K867" t="s">
        <v>84</v>
      </c>
      <c r="L867" s="1">
        <v>42393.543749999997</v>
      </c>
      <c r="M867" s="1">
        <v>42393</v>
      </c>
      <c r="N867" s="3">
        <f>INT(BrightTV_JoinedTablesnw_2026_04_16_23_55_09[[#This Row],[Viewership.RecordDate22]])</f>
        <v>42393</v>
      </c>
      <c r="O867" s="2">
        <v>0.54374999999999996</v>
      </c>
      <c r="P867" t="s">
        <v>1002</v>
      </c>
      <c r="Q867">
        <v>788958</v>
      </c>
      <c r="R867" t="s">
        <v>20</v>
      </c>
    </row>
    <row r="868" spans="1:18" x14ac:dyDescent="0.25">
      <c r="A868">
        <v>788958</v>
      </c>
      <c r="B868" t="s">
        <v>86</v>
      </c>
      <c r="C868" t="s">
        <v>148</v>
      </c>
      <c r="D868" t="s">
        <v>451</v>
      </c>
      <c r="E868" t="s">
        <v>38</v>
      </c>
      <c r="F868" t="s">
        <v>25</v>
      </c>
      <c r="G868">
        <v>38</v>
      </c>
      <c r="H868" t="s">
        <v>52</v>
      </c>
      <c r="I868" t="s">
        <v>90</v>
      </c>
      <c r="J868">
        <v>788958</v>
      </c>
      <c r="K868" t="s">
        <v>84</v>
      </c>
      <c r="L868" s="1">
        <v>42400.925000000003</v>
      </c>
      <c r="M868" s="1">
        <v>42400</v>
      </c>
      <c r="N868" s="3">
        <f>INT(BrightTV_JoinedTablesnw_2026_04_16_23_55_09[[#This Row],[Viewership.RecordDate22]])</f>
        <v>42400</v>
      </c>
      <c r="O868" s="2">
        <v>0.92500000000000004</v>
      </c>
      <c r="P868" t="s">
        <v>1003</v>
      </c>
      <c r="Q868">
        <v>788958</v>
      </c>
      <c r="R868" t="s">
        <v>20</v>
      </c>
    </row>
    <row r="869" spans="1:18" x14ac:dyDescent="0.25">
      <c r="A869">
        <v>788958</v>
      </c>
      <c r="B869" t="s">
        <v>86</v>
      </c>
      <c r="C869" t="s">
        <v>148</v>
      </c>
      <c r="D869" t="s">
        <v>451</v>
      </c>
      <c r="E869" t="s">
        <v>38</v>
      </c>
      <c r="F869" t="s">
        <v>25</v>
      </c>
      <c r="G869">
        <v>38</v>
      </c>
      <c r="H869" t="s">
        <v>52</v>
      </c>
      <c r="I869" t="s">
        <v>90</v>
      </c>
      <c r="J869">
        <v>788958</v>
      </c>
      <c r="K869" t="s">
        <v>84</v>
      </c>
      <c r="L869" s="1">
        <v>42394.207638888889</v>
      </c>
      <c r="M869" s="1">
        <v>42394</v>
      </c>
      <c r="N869" s="3">
        <f>INT(BrightTV_JoinedTablesnw_2026_04_16_23_55_09[[#This Row],[Viewership.RecordDate22]])</f>
        <v>42394</v>
      </c>
      <c r="O869" s="2">
        <v>0.2076388888888889</v>
      </c>
      <c r="P869" t="s">
        <v>1004</v>
      </c>
      <c r="Q869">
        <v>788958</v>
      </c>
      <c r="R869" t="s">
        <v>20</v>
      </c>
    </row>
    <row r="870" spans="1:18" x14ac:dyDescent="0.25">
      <c r="A870">
        <v>788959</v>
      </c>
      <c r="B870" t="s">
        <v>576</v>
      </c>
      <c r="C870" t="s">
        <v>104</v>
      </c>
      <c r="D870" t="s">
        <v>1005</v>
      </c>
      <c r="E870" t="s">
        <v>38</v>
      </c>
      <c r="F870" t="s">
        <v>16</v>
      </c>
      <c r="G870">
        <v>35</v>
      </c>
      <c r="H870" t="s">
        <v>40</v>
      </c>
      <c r="I870" t="s">
        <v>578</v>
      </c>
      <c r="J870">
        <v>788959</v>
      </c>
      <c r="K870" t="s">
        <v>18</v>
      </c>
      <c r="L870" s="1">
        <v>42431.492361111108</v>
      </c>
      <c r="M870" s="1">
        <v>42431</v>
      </c>
      <c r="N870" s="3">
        <f>INT(BrightTV_JoinedTablesnw_2026_04_16_23_55_09[[#This Row],[Viewership.RecordDate22]])</f>
        <v>42431</v>
      </c>
      <c r="O870" s="2">
        <v>0.49236111111111114</v>
      </c>
      <c r="P870" t="s">
        <v>1006</v>
      </c>
      <c r="Q870">
        <v>788959</v>
      </c>
      <c r="R870" t="s">
        <v>20</v>
      </c>
    </row>
    <row r="871" spans="1:18" x14ac:dyDescent="0.25">
      <c r="A871">
        <v>788961</v>
      </c>
      <c r="B871" t="s">
        <v>325</v>
      </c>
      <c r="C871" t="s">
        <v>271</v>
      </c>
      <c r="D871" t="s">
        <v>1007</v>
      </c>
      <c r="E871" t="s">
        <v>38</v>
      </c>
      <c r="F871" t="s">
        <v>39</v>
      </c>
      <c r="G871">
        <v>62</v>
      </c>
      <c r="H871" t="s">
        <v>280</v>
      </c>
      <c r="I871" t="s">
        <v>327</v>
      </c>
      <c r="J871">
        <v>788961</v>
      </c>
      <c r="K871" t="s">
        <v>54</v>
      </c>
      <c r="L871" s="1">
        <v>42421.393750000003</v>
      </c>
      <c r="M871" s="1">
        <v>42421</v>
      </c>
      <c r="N871" s="3">
        <f>INT(BrightTV_JoinedTablesnw_2026_04_16_23_55_09[[#This Row],[Viewership.RecordDate22]])</f>
        <v>42421</v>
      </c>
      <c r="O871" s="2">
        <v>0.39374999999999999</v>
      </c>
      <c r="P871" t="s">
        <v>145</v>
      </c>
      <c r="Q871">
        <v>788961</v>
      </c>
      <c r="R871" t="s">
        <v>20</v>
      </c>
    </row>
    <row r="872" spans="1:18" x14ac:dyDescent="0.25">
      <c r="A872">
        <v>788961</v>
      </c>
      <c r="B872" t="s">
        <v>325</v>
      </c>
      <c r="C872" t="s">
        <v>271</v>
      </c>
      <c r="D872" t="s">
        <v>1007</v>
      </c>
      <c r="E872" t="s">
        <v>38</v>
      </c>
      <c r="F872" t="s">
        <v>39</v>
      </c>
      <c r="G872">
        <v>62</v>
      </c>
      <c r="H872" t="s">
        <v>280</v>
      </c>
      <c r="I872" t="s">
        <v>327</v>
      </c>
      <c r="J872">
        <v>788961</v>
      </c>
      <c r="K872" t="s">
        <v>47</v>
      </c>
      <c r="L872" s="1">
        <v>42395.761805555558</v>
      </c>
      <c r="M872" s="1">
        <v>42395</v>
      </c>
      <c r="N872" s="3">
        <f>INT(BrightTV_JoinedTablesnw_2026_04_16_23_55_09[[#This Row],[Viewership.RecordDate22]])</f>
        <v>42395</v>
      </c>
      <c r="O872" s="2">
        <v>0.76180555555555551</v>
      </c>
      <c r="P872" t="s">
        <v>114</v>
      </c>
      <c r="Q872">
        <v>788961</v>
      </c>
      <c r="R872" t="s">
        <v>20</v>
      </c>
    </row>
    <row r="873" spans="1:18" x14ac:dyDescent="0.25">
      <c r="A873">
        <v>788961</v>
      </c>
      <c r="B873" t="s">
        <v>325</v>
      </c>
      <c r="C873" t="s">
        <v>271</v>
      </c>
      <c r="D873" t="s">
        <v>1007</v>
      </c>
      <c r="E873" t="s">
        <v>38</v>
      </c>
      <c r="F873" t="s">
        <v>39</v>
      </c>
      <c r="G873">
        <v>62</v>
      </c>
      <c r="H873" t="s">
        <v>280</v>
      </c>
      <c r="I873" t="s">
        <v>327</v>
      </c>
      <c r="J873">
        <v>788961</v>
      </c>
      <c r="K873" t="s">
        <v>77</v>
      </c>
      <c r="L873" s="1">
        <v>42449.609027777777</v>
      </c>
      <c r="M873" s="1">
        <v>42449</v>
      </c>
      <c r="N873" s="3">
        <f>INT(BrightTV_JoinedTablesnw_2026_04_16_23_55_09[[#This Row],[Viewership.RecordDate22]])</f>
        <v>42449</v>
      </c>
      <c r="O873" s="2">
        <v>0.60902777777777772</v>
      </c>
      <c r="P873" t="s">
        <v>1008</v>
      </c>
      <c r="Q873">
        <v>788961</v>
      </c>
      <c r="R873" t="s">
        <v>20</v>
      </c>
    </row>
    <row r="874" spans="1:18" x14ac:dyDescent="0.25">
      <c r="A874">
        <v>788969</v>
      </c>
      <c r="B874" t="s">
        <v>542</v>
      </c>
      <c r="C874" t="s">
        <v>775</v>
      </c>
      <c r="D874" t="s">
        <v>1009</v>
      </c>
      <c r="E874" t="s">
        <v>38</v>
      </c>
      <c r="F874" t="s">
        <v>39</v>
      </c>
      <c r="G874">
        <v>42</v>
      </c>
      <c r="H874" t="s">
        <v>280</v>
      </c>
      <c r="I874" t="s">
        <v>545</v>
      </c>
      <c r="J874">
        <v>788969</v>
      </c>
      <c r="K874" t="s">
        <v>47</v>
      </c>
      <c r="L874" s="1">
        <v>42431.973611111112</v>
      </c>
      <c r="M874" s="1">
        <v>42431</v>
      </c>
      <c r="N874" s="3">
        <f>INT(BrightTV_JoinedTablesnw_2026_04_16_23_55_09[[#This Row],[Viewership.RecordDate22]])</f>
        <v>42431</v>
      </c>
      <c r="O874" s="2">
        <v>0.97361111111111109</v>
      </c>
      <c r="P874" t="s">
        <v>324</v>
      </c>
      <c r="Q874">
        <v>788969</v>
      </c>
      <c r="R874" t="s">
        <v>20</v>
      </c>
    </row>
    <row r="875" spans="1:18" x14ac:dyDescent="0.25">
      <c r="A875">
        <v>788969</v>
      </c>
      <c r="B875" t="s">
        <v>542</v>
      </c>
      <c r="C875" t="s">
        <v>775</v>
      </c>
      <c r="D875" t="s">
        <v>1009</v>
      </c>
      <c r="E875" t="s">
        <v>38</v>
      </c>
      <c r="F875" t="s">
        <v>39</v>
      </c>
      <c r="G875">
        <v>42</v>
      </c>
      <c r="H875" t="s">
        <v>280</v>
      </c>
      <c r="I875" t="s">
        <v>545</v>
      </c>
      <c r="J875">
        <v>788969</v>
      </c>
      <c r="K875" t="s">
        <v>169</v>
      </c>
      <c r="L875" s="1">
        <v>42432.951388888891</v>
      </c>
      <c r="M875" s="1">
        <v>42432</v>
      </c>
      <c r="N875" s="3">
        <f>INT(BrightTV_JoinedTablesnw_2026_04_16_23_55_09[[#This Row],[Viewership.RecordDate22]])</f>
        <v>42432</v>
      </c>
      <c r="O875" s="2">
        <v>0.95138888888888884</v>
      </c>
      <c r="P875" t="s">
        <v>55</v>
      </c>
      <c r="Q875">
        <v>788969</v>
      </c>
      <c r="R875" t="s">
        <v>20</v>
      </c>
    </row>
    <row r="876" spans="1:18" x14ac:dyDescent="0.25">
      <c r="A876">
        <v>788969</v>
      </c>
      <c r="B876" t="s">
        <v>542</v>
      </c>
      <c r="C876" t="s">
        <v>775</v>
      </c>
      <c r="D876" t="s">
        <v>1009</v>
      </c>
      <c r="E876" t="s">
        <v>38</v>
      </c>
      <c r="F876" t="s">
        <v>39</v>
      </c>
      <c r="G876">
        <v>42</v>
      </c>
      <c r="H876" t="s">
        <v>280</v>
      </c>
      <c r="I876" t="s">
        <v>545</v>
      </c>
      <c r="J876">
        <v>788969</v>
      </c>
      <c r="K876" t="s">
        <v>47</v>
      </c>
      <c r="L876" s="1">
        <v>42432.954861111109</v>
      </c>
      <c r="M876" s="1">
        <v>42432</v>
      </c>
      <c r="N876" s="3">
        <f>INT(BrightTV_JoinedTablesnw_2026_04_16_23_55_09[[#This Row],[Viewership.RecordDate22]])</f>
        <v>42432</v>
      </c>
      <c r="O876" s="2">
        <v>0.95486111111111116</v>
      </c>
      <c r="P876" t="s">
        <v>200</v>
      </c>
      <c r="Q876">
        <v>788969</v>
      </c>
      <c r="R876" t="s">
        <v>20</v>
      </c>
    </row>
    <row r="877" spans="1:18" x14ac:dyDescent="0.25">
      <c r="A877">
        <v>788969</v>
      </c>
      <c r="B877" t="s">
        <v>542</v>
      </c>
      <c r="C877" t="s">
        <v>775</v>
      </c>
      <c r="D877" t="s">
        <v>1009</v>
      </c>
      <c r="E877" t="s">
        <v>38</v>
      </c>
      <c r="F877" t="s">
        <v>39</v>
      </c>
      <c r="G877">
        <v>42</v>
      </c>
      <c r="H877" t="s">
        <v>280</v>
      </c>
      <c r="I877" t="s">
        <v>545</v>
      </c>
      <c r="J877">
        <v>788969</v>
      </c>
      <c r="K877" t="s">
        <v>84</v>
      </c>
      <c r="L877" s="1">
        <v>42448.290277777778</v>
      </c>
      <c r="M877" s="1">
        <v>42448</v>
      </c>
      <c r="N877" s="3">
        <f>INT(BrightTV_JoinedTablesnw_2026_04_16_23_55_09[[#This Row],[Viewership.RecordDate22]])</f>
        <v>42448</v>
      </c>
      <c r="O877" s="2">
        <v>0.2902777777777778</v>
      </c>
      <c r="P877" t="s">
        <v>499</v>
      </c>
      <c r="Q877">
        <v>788969</v>
      </c>
      <c r="R877" t="s">
        <v>20</v>
      </c>
    </row>
    <row r="878" spans="1:18" x14ac:dyDescent="0.25">
      <c r="A878">
        <v>809169</v>
      </c>
      <c r="B878" t="s">
        <v>292</v>
      </c>
      <c r="C878" t="s">
        <v>593</v>
      </c>
      <c r="D878" t="s">
        <v>294</v>
      </c>
      <c r="E878" t="s">
        <v>38</v>
      </c>
      <c r="F878" t="s">
        <v>39</v>
      </c>
      <c r="G878">
        <v>46</v>
      </c>
      <c r="H878" t="s">
        <v>40</v>
      </c>
      <c r="I878" t="s">
        <v>295</v>
      </c>
      <c r="J878">
        <v>809169</v>
      </c>
      <c r="K878" t="s">
        <v>47</v>
      </c>
      <c r="L878" s="1">
        <v>42432.96597222222</v>
      </c>
      <c r="M878" s="1">
        <v>42432</v>
      </c>
      <c r="N878" s="3">
        <f>INT(BrightTV_JoinedTablesnw_2026_04_16_23_55_09[[#This Row],[Viewership.RecordDate22]])</f>
        <v>42432</v>
      </c>
      <c r="O878" s="2">
        <v>0.96597222222222223</v>
      </c>
      <c r="P878" t="s">
        <v>315</v>
      </c>
      <c r="Q878">
        <v>809169</v>
      </c>
      <c r="R878" t="s">
        <v>20</v>
      </c>
    </row>
    <row r="879" spans="1:18" x14ac:dyDescent="0.25">
      <c r="A879">
        <v>809169</v>
      </c>
      <c r="B879" t="s">
        <v>292</v>
      </c>
      <c r="C879" t="s">
        <v>593</v>
      </c>
      <c r="D879" t="s">
        <v>294</v>
      </c>
      <c r="E879" t="s">
        <v>38</v>
      </c>
      <c r="F879" t="s">
        <v>39</v>
      </c>
      <c r="G879">
        <v>46</v>
      </c>
      <c r="H879" t="s">
        <v>40</v>
      </c>
      <c r="I879" t="s">
        <v>295</v>
      </c>
      <c r="J879">
        <v>809169</v>
      </c>
      <c r="K879" t="s">
        <v>417</v>
      </c>
      <c r="L879" s="1">
        <v>42413.896527777775</v>
      </c>
      <c r="M879" s="1">
        <v>42413</v>
      </c>
      <c r="N879" s="3">
        <f>INT(BrightTV_JoinedTablesnw_2026_04_16_23_55_09[[#This Row],[Viewership.RecordDate22]])</f>
        <v>42413</v>
      </c>
      <c r="O879" s="2">
        <v>0.89652777777777781</v>
      </c>
      <c r="P879" t="s">
        <v>100</v>
      </c>
      <c r="Q879">
        <v>809169</v>
      </c>
      <c r="R879" t="s">
        <v>20</v>
      </c>
    </row>
    <row r="880" spans="1:18" x14ac:dyDescent="0.25">
      <c r="A880">
        <v>809169</v>
      </c>
      <c r="B880" t="s">
        <v>292</v>
      </c>
      <c r="C880" t="s">
        <v>593</v>
      </c>
      <c r="D880" t="s">
        <v>294</v>
      </c>
      <c r="E880" t="s">
        <v>38</v>
      </c>
      <c r="F880" t="s">
        <v>39</v>
      </c>
      <c r="G880">
        <v>46</v>
      </c>
      <c r="H880" t="s">
        <v>40</v>
      </c>
      <c r="I880" t="s">
        <v>295</v>
      </c>
      <c r="J880">
        <v>809169</v>
      </c>
      <c r="K880" t="s">
        <v>129</v>
      </c>
      <c r="L880" s="1">
        <v>42450.085416666669</v>
      </c>
      <c r="M880" s="1">
        <v>42450</v>
      </c>
      <c r="N880" s="3">
        <f>INT(BrightTV_JoinedTablesnw_2026_04_16_23_55_09[[#This Row],[Viewership.RecordDate22]])</f>
        <v>42450</v>
      </c>
      <c r="O880" s="2">
        <v>8.5416666666666669E-2</v>
      </c>
      <c r="P880" t="s">
        <v>1010</v>
      </c>
      <c r="Q880">
        <v>809169</v>
      </c>
      <c r="R880" t="s">
        <v>20</v>
      </c>
    </row>
    <row r="881" spans="1:18" x14ac:dyDescent="0.25">
      <c r="A881">
        <v>788978</v>
      </c>
      <c r="B881" t="s">
        <v>654</v>
      </c>
      <c r="C881" t="s">
        <v>681</v>
      </c>
      <c r="D881" t="s">
        <v>1011</v>
      </c>
      <c r="E881" t="s">
        <v>38</v>
      </c>
      <c r="F881" t="s">
        <v>89</v>
      </c>
      <c r="G881">
        <v>37</v>
      </c>
      <c r="H881" t="s">
        <v>60</v>
      </c>
      <c r="I881" t="s">
        <v>656</v>
      </c>
      <c r="J881">
        <v>788978</v>
      </c>
      <c r="K881" t="s">
        <v>18</v>
      </c>
      <c r="L881" s="1">
        <v>42421.498611111114</v>
      </c>
      <c r="M881" s="1">
        <v>42421</v>
      </c>
      <c r="N881" s="3">
        <f>INT(BrightTV_JoinedTablesnw_2026_04_16_23_55_09[[#This Row],[Viewership.RecordDate22]])</f>
        <v>42421</v>
      </c>
      <c r="O881" s="2">
        <v>0.49861111111111112</v>
      </c>
      <c r="P881" t="s">
        <v>1012</v>
      </c>
      <c r="Q881">
        <v>788978</v>
      </c>
      <c r="R881" t="s">
        <v>20</v>
      </c>
    </row>
    <row r="882" spans="1:18" x14ac:dyDescent="0.25">
      <c r="A882">
        <v>788978</v>
      </c>
      <c r="B882" t="s">
        <v>654</v>
      </c>
      <c r="C882" t="s">
        <v>681</v>
      </c>
      <c r="D882" t="s">
        <v>1011</v>
      </c>
      <c r="E882" t="s">
        <v>38</v>
      </c>
      <c r="F882" t="s">
        <v>89</v>
      </c>
      <c r="G882">
        <v>37</v>
      </c>
      <c r="H882" t="s">
        <v>60</v>
      </c>
      <c r="I882" t="s">
        <v>656</v>
      </c>
      <c r="J882">
        <v>788978</v>
      </c>
      <c r="K882" t="s">
        <v>54</v>
      </c>
      <c r="L882" s="1">
        <v>42419.270833333336</v>
      </c>
      <c r="M882" s="1">
        <v>42419</v>
      </c>
      <c r="N882" s="3">
        <f>INT(BrightTV_JoinedTablesnw_2026_04_16_23_55_09[[#This Row],[Viewership.RecordDate22]])</f>
        <v>42419</v>
      </c>
      <c r="O882" s="2">
        <v>0.27083333333333331</v>
      </c>
      <c r="P882" t="s">
        <v>216</v>
      </c>
      <c r="Q882">
        <v>788978</v>
      </c>
      <c r="R882" t="s">
        <v>20</v>
      </c>
    </row>
    <row r="883" spans="1:18" x14ac:dyDescent="0.25">
      <c r="A883">
        <v>788978</v>
      </c>
      <c r="B883" t="s">
        <v>654</v>
      </c>
      <c r="C883" t="s">
        <v>681</v>
      </c>
      <c r="D883" t="s">
        <v>1011</v>
      </c>
      <c r="E883" t="s">
        <v>38</v>
      </c>
      <c r="F883" t="s">
        <v>89</v>
      </c>
      <c r="G883">
        <v>37</v>
      </c>
      <c r="H883" t="s">
        <v>60</v>
      </c>
      <c r="I883" t="s">
        <v>656</v>
      </c>
      <c r="J883">
        <v>788978</v>
      </c>
      <c r="K883" t="s">
        <v>62</v>
      </c>
      <c r="L883" s="1">
        <v>42414.597222222219</v>
      </c>
      <c r="M883" s="1">
        <v>42414</v>
      </c>
      <c r="N883" s="3">
        <f>INT(BrightTV_JoinedTablesnw_2026_04_16_23_55_09[[#This Row],[Viewership.RecordDate22]])</f>
        <v>42414</v>
      </c>
      <c r="O883" s="2">
        <v>0.59722222222222221</v>
      </c>
      <c r="P883" t="s">
        <v>520</v>
      </c>
      <c r="Q883">
        <v>788978</v>
      </c>
      <c r="R883" t="s">
        <v>20</v>
      </c>
    </row>
    <row r="884" spans="1:18" x14ac:dyDescent="0.25">
      <c r="A884">
        <v>788978</v>
      </c>
      <c r="B884" t="s">
        <v>654</v>
      </c>
      <c r="C884" t="s">
        <v>681</v>
      </c>
      <c r="D884" t="s">
        <v>1011</v>
      </c>
      <c r="E884" t="s">
        <v>38</v>
      </c>
      <c r="F884" t="s">
        <v>89</v>
      </c>
      <c r="G884">
        <v>37</v>
      </c>
      <c r="H884" t="s">
        <v>60</v>
      </c>
      <c r="I884" t="s">
        <v>656</v>
      </c>
      <c r="J884">
        <v>788978</v>
      </c>
      <c r="K884" t="s">
        <v>62</v>
      </c>
      <c r="L884" s="1">
        <v>42432.801388888889</v>
      </c>
      <c r="M884" s="1">
        <v>42432</v>
      </c>
      <c r="N884" s="3">
        <f>INT(BrightTV_JoinedTablesnw_2026_04_16_23_55_09[[#This Row],[Viewership.RecordDate22]])</f>
        <v>42432</v>
      </c>
      <c r="O884" s="2">
        <v>0.80138888888888893</v>
      </c>
      <c r="P884" t="s">
        <v>1013</v>
      </c>
      <c r="Q884">
        <v>788978</v>
      </c>
      <c r="R884" t="s">
        <v>20</v>
      </c>
    </row>
    <row r="885" spans="1:18" x14ac:dyDescent="0.25">
      <c r="A885">
        <v>788978</v>
      </c>
      <c r="B885" t="s">
        <v>654</v>
      </c>
      <c r="C885" t="s">
        <v>681</v>
      </c>
      <c r="D885" t="s">
        <v>1011</v>
      </c>
      <c r="E885" t="s">
        <v>38</v>
      </c>
      <c r="F885" t="s">
        <v>89</v>
      </c>
      <c r="G885">
        <v>37</v>
      </c>
      <c r="H885" t="s">
        <v>60</v>
      </c>
      <c r="I885" t="s">
        <v>656</v>
      </c>
      <c r="J885">
        <v>788978</v>
      </c>
      <c r="K885" t="s">
        <v>47</v>
      </c>
      <c r="L885" s="1">
        <v>42437.259722222225</v>
      </c>
      <c r="M885" s="1">
        <v>42437</v>
      </c>
      <c r="N885" s="3">
        <f>INT(BrightTV_JoinedTablesnw_2026_04_16_23_55_09[[#This Row],[Viewership.RecordDate22]])</f>
        <v>42437</v>
      </c>
      <c r="O885" s="2">
        <v>0.25972222222222224</v>
      </c>
      <c r="P885" t="s">
        <v>209</v>
      </c>
      <c r="Q885">
        <v>788978</v>
      </c>
      <c r="R885" t="s">
        <v>20</v>
      </c>
    </row>
    <row r="886" spans="1:18" x14ac:dyDescent="0.25">
      <c r="A886">
        <v>788978</v>
      </c>
      <c r="B886" t="s">
        <v>654</v>
      </c>
      <c r="C886" t="s">
        <v>681</v>
      </c>
      <c r="D886" t="s">
        <v>1011</v>
      </c>
      <c r="E886" t="s">
        <v>38</v>
      </c>
      <c r="F886" t="s">
        <v>89</v>
      </c>
      <c r="G886">
        <v>37</v>
      </c>
      <c r="H886" t="s">
        <v>60</v>
      </c>
      <c r="I886" t="s">
        <v>656</v>
      </c>
      <c r="J886">
        <v>788978</v>
      </c>
      <c r="K886" t="s">
        <v>18</v>
      </c>
      <c r="L886" s="1">
        <v>42454.674305555556</v>
      </c>
      <c r="M886" s="1">
        <v>42454</v>
      </c>
      <c r="N886" s="3">
        <f>INT(BrightTV_JoinedTablesnw_2026_04_16_23_55_09[[#This Row],[Viewership.RecordDate22]])</f>
        <v>42454</v>
      </c>
      <c r="O886" s="2">
        <v>0.6743055555555556</v>
      </c>
      <c r="P886" t="s">
        <v>1014</v>
      </c>
      <c r="Q886">
        <v>788978</v>
      </c>
      <c r="R886" t="s">
        <v>20</v>
      </c>
    </row>
    <row r="887" spans="1:18" x14ac:dyDescent="0.25">
      <c r="A887">
        <v>788978</v>
      </c>
      <c r="B887" t="s">
        <v>654</v>
      </c>
      <c r="C887" t="s">
        <v>681</v>
      </c>
      <c r="D887" t="s">
        <v>1011</v>
      </c>
      <c r="E887" t="s">
        <v>38</v>
      </c>
      <c r="F887" t="s">
        <v>89</v>
      </c>
      <c r="G887">
        <v>37</v>
      </c>
      <c r="H887" t="s">
        <v>60</v>
      </c>
      <c r="I887" t="s">
        <v>656</v>
      </c>
      <c r="J887">
        <v>788978</v>
      </c>
      <c r="K887" t="s">
        <v>77</v>
      </c>
      <c r="L887" s="1">
        <v>42413.856944444444</v>
      </c>
      <c r="M887" s="1">
        <v>42413</v>
      </c>
      <c r="N887" s="3">
        <f>INT(BrightTV_JoinedTablesnw_2026_04_16_23_55_09[[#This Row],[Viewership.RecordDate22]])</f>
        <v>42413</v>
      </c>
      <c r="O887" s="2">
        <v>0.8569444444444444</v>
      </c>
      <c r="P887" t="s">
        <v>211</v>
      </c>
      <c r="Q887">
        <v>788978</v>
      </c>
      <c r="R887" t="s">
        <v>20</v>
      </c>
    </row>
    <row r="888" spans="1:18" x14ac:dyDescent="0.25">
      <c r="A888">
        <v>788978</v>
      </c>
      <c r="B888" t="s">
        <v>654</v>
      </c>
      <c r="C888" t="s">
        <v>681</v>
      </c>
      <c r="D888" t="s">
        <v>1011</v>
      </c>
      <c r="E888" t="s">
        <v>38</v>
      </c>
      <c r="F888" t="s">
        <v>89</v>
      </c>
      <c r="G888">
        <v>37</v>
      </c>
      <c r="H888" t="s">
        <v>60</v>
      </c>
      <c r="I888" t="s">
        <v>656</v>
      </c>
      <c r="J888">
        <v>788978</v>
      </c>
      <c r="K888" t="s">
        <v>417</v>
      </c>
      <c r="L888" s="1">
        <v>42413.868750000001</v>
      </c>
      <c r="M888" s="1">
        <v>42413</v>
      </c>
      <c r="N888" s="3">
        <f>INT(BrightTV_JoinedTablesnw_2026_04_16_23_55_09[[#This Row],[Viewership.RecordDate22]])</f>
        <v>42413</v>
      </c>
      <c r="O888" s="2">
        <v>0.86875000000000002</v>
      </c>
      <c r="P888" t="s">
        <v>64</v>
      </c>
      <c r="Q888">
        <v>788978</v>
      </c>
      <c r="R888" t="s">
        <v>20</v>
      </c>
    </row>
    <row r="889" spans="1:18" x14ac:dyDescent="0.25">
      <c r="A889">
        <v>788988</v>
      </c>
      <c r="B889" t="s">
        <v>1015</v>
      </c>
      <c r="C889" t="s">
        <v>155</v>
      </c>
      <c r="D889" t="s">
        <v>1016</v>
      </c>
      <c r="E889" t="s">
        <v>24</v>
      </c>
      <c r="F889" t="s">
        <v>39</v>
      </c>
      <c r="G889">
        <v>44</v>
      </c>
      <c r="H889" t="s">
        <v>40</v>
      </c>
      <c r="I889" t="s">
        <v>1017</v>
      </c>
      <c r="J889">
        <v>788988</v>
      </c>
      <c r="K889" t="s">
        <v>54</v>
      </c>
      <c r="L889" s="1">
        <v>42435.825694444444</v>
      </c>
      <c r="M889" s="1">
        <v>42435</v>
      </c>
      <c r="N889" s="3">
        <f>INT(BrightTV_JoinedTablesnw_2026_04_16_23_55_09[[#This Row],[Viewership.RecordDate22]])</f>
        <v>42435</v>
      </c>
      <c r="O889" s="2">
        <v>0.8256944444444444</v>
      </c>
      <c r="P889" t="s">
        <v>1018</v>
      </c>
      <c r="Q889">
        <v>788988</v>
      </c>
      <c r="R889" t="s">
        <v>20</v>
      </c>
    </row>
    <row r="890" spans="1:18" x14ac:dyDescent="0.25">
      <c r="A890">
        <v>788988</v>
      </c>
      <c r="B890" t="s">
        <v>1015</v>
      </c>
      <c r="C890" t="s">
        <v>155</v>
      </c>
      <c r="D890" t="s">
        <v>1016</v>
      </c>
      <c r="E890" t="s">
        <v>24</v>
      </c>
      <c r="F890" t="s">
        <v>39</v>
      </c>
      <c r="G890">
        <v>44</v>
      </c>
      <c r="H890" t="s">
        <v>40</v>
      </c>
      <c r="I890" t="s">
        <v>1017</v>
      </c>
      <c r="J890">
        <v>788988</v>
      </c>
      <c r="K890" t="s">
        <v>77</v>
      </c>
      <c r="L890" s="1">
        <v>42392.806944444441</v>
      </c>
      <c r="M890" s="1">
        <v>42392</v>
      </c>
      <c r="N890" s="3">
        <f>INT(BrightTV_JoinedTablesnw_2026_04_16_23_55_09[[#This Row],[Viewership.RecordDate22]])</f>
        <v>42392</v>
      </c>
      <c r="O890" s="2">
        <v>0.80694444444444446</v>
      </c>
      <c r="P890" t="s">
        <v>216</v>
      </c>
      <c r="Q890">
        <v>788988</v>
      </c>
      <c r="R890" t="s">
        <v>20</v>
      </c>
    </row>
    <row r="891" spans="1:18" x14ac:dyDescent="0.25">
      <c r="A891">
        <v>788990</v>
      </c>
      <c r="B891" t="s">
        <v>35</v>
      </c>
      <c r="C891" t="s">
        <v>94</v>
      </c>
      <c r="D891" t="s">
        <v>37</v>
      </c>
      <c r="E891" t="s">
        <v>38</v>
      </c>
      <c r="F891" t="s">
        <v>39</v>
      </c>
      <c r="G891">
        <v>27</v>
      </c>
      <c r="H891" t="s">
        <v>75</v>
      </c>
      <c r="I891" t="s">
        <v>41</v>
      </c>
      <c r="J891">
        <v>788990</v>
      </c>
      <c r="K891" t="s">
        <v>84</v>
      </c>
      <c r="L891" s="1">
        <v>42402.372916666667</v>
      </c>
      <c r="M891" s="1">
        <v>42402</v>
      </c>
      <c r="N891" s="3">
        <f>INT(BrightTV_JoinedTablesnw_2026_04_16_23_55_09[[#This Row],[Viewership.RecordDate22]])</f>
        <v>42402</v>
      </c>
      <c r="O891" s="2">
        <v>0.37291666666666667</v>
      </c>
      <c r="P891" t="s">
        <v>313</v>
      </c>
      <c r="Q891">
        <v>788990</v>
      </c>
      <c r="R891" t="s">
        <v>20</v>
      </c>
    </row>
    <row r="892" spans="1:18" x14ac:dyDescent="0.25">
      <c r="A892">
        <v>788990</v>
      </c>
      <c r="B892" t="s">
        <v>35</v>
      </c>
      <c r="C892" t="s">
        <v>94</v>
      </c>
      <c r="D892" t="s">
        <v>37</v>
      </c>
      <c r="E892" t="s">
        <v>38</v>
      </c>
      <c r="F892" t="s">
        <v>39</v>
      </c>
      <c r="G892">
        <v>27</v>
      </c>
      <c r="H892" t="s">
        <v>75</v>
      </c>
      <c r="I892" t="s">
        <v>41</v>
      </c>
      <c r="J892">
        <v>788990</v>
      </c>
      <c r="K892" t="s">
        <v>32</v>
      </c>
      <c r="L892" s="1">
        <v>42392.495833333334</v>
      </c>
      <c r="M892" s="1">
        <v>42392</v>
      </c>
      <c r="N892" s="3">
        <f>INT(BrightTV_JoinedTablesnw_2026_04_16_23_55_09[[#This Row],[Viewership.RecordDate22]])</f>
        <v>42392</v>
      </c>
      <c r="O892" s="2">
        <v>0.49583333333333335</v>
      </c>
      <c r="P892" t="s">
        <v>1019</v>
      </c>
      <c r="Q892">
        <v>788990</v>
      </c>
      <c r="R892" t="s">
        <v>20</v>
      </c>
    </row>
    <row r="893" spans="1:18" x14ac:dyDescent="0.25">
      <c r="A893">
        <v>788990</v>
      </c>
      <c r="B893" t="s">
        <v>35</v>
      </c>
      <c r="C893" t="s">
        <v>94</v>
      </c>
      <c r="D893" t="s">
        <v>37</v>
      </c>
      <c r="E893" t="s">
        <v>38</v>
      </c>
      <c r="F893" t="s">
        <v>39</v>
      </c>
      <c r="G893">
        <v>27</v>
      </c>
      <c r="H893" t="s">
        <v>75</v>
      </c>
      <c r="I893" t="s">
        <v>41</v>
      </c>
      <c r="J893">
        <v>788990</v>
      </c>
      <c r="K893" t="s">
        <v>77</v>
      </c>
      <c r="L893" s="1">
        <v>42409.935416666667</v>
      </c>
      <c r="M893" s="1">
        <v>42409</v>
      </c>
      <c r="N893" s="3">
        <f>INT(BrightTV_JoinedTablesnw_2026_04_16_23_55_09[[#This Row],[Viewership.RecordDate22]])</f>
        <v>42409</v>
      </c>
      <c r="O893" s="2">
        <v>0.93541666666666667</v>
      </c>
      <c r="P893" t="s">
        <v>335</v>
      </c>
      <c r="Q893">
        <v>788990</v>
      </c>
      <c r="R893" t="s">
        <v>20</v>
      </c>
    </row>
    <row r="894" spans="1:18" x14ac:dyDescent="0.25">
      <c r="A894">
        <v>788990</v>
      </c>
      <c r="B894" t="s">
        <v>35</v>
      </c>
      <c r="C894" t="s">
        <v>94</v>
      </c>
      <c r="D894" t="s">
        <v>37</v>
      </c>
      <c r="E894" t="s">
        <v>38</v>
      </c>
      <c r="F894" t="s">
        <v>39</v>
      </c>
      <c r="G894">
        <v>27</v>
      </c>
      <c r="H894" t="s">
        <v>75</v>
      </c>
      <c r="I894" t="s">
        <v>41</v>
      </c>
      <c r="J894">
        <v>788990</v>
      </c>
      <c r="K894" t="s">
        <v>30</v>
      </c>
      <c r="L894" s="1">
        <v>42403.53125</v>
      </c>
      <c r="M894" s="1">
        <v>42403</v>
      </c>
      <c r="N894" s="3">
        <f>INT(BrightTV_JoinedTablesnw_2026_04_16_23_55_09[[#This Row],[Viewership.RecordDate22]])</f>
        <v>42403</v>
      </c>
      <c r="O894" s="2">
        <v>0.53125</v>
      </c>
      <c r="P894" t="s">
        <v>481</v>
      </c>
      <c r="Q894">
        <v>788990</v>
      </c>
      <c r="R894" t="s">
        <v>20</v>
      </c>
    </row>
    <row r="895" spans="1:18" x14ac:dyDescent="0.25">
      <c r="A895">
        <v>788990</v>
      </c>
      <c r="B895" t="s">
        <v>35</v>
      </c>
      <c r="C895" t="s">
        <v>94</v>
      </c>
      <c r="D895" t="s">
        <v>37</v>
      </c>
      <c r="E895" t="s">
        <v>38</v>
      </c>
      <c r="F895" t="s">
        <v>39</v>
      </c>
      <c r="G895">
        <v>27</v>
      </c>
      <c r="H895" t="s">
        <v>75</v>
      </c>
      <c r="I895" t="s">
        <v>41</v>
      </c>
      <c r="J895">
        <v>788990</v>
      </c>
      <c r="K895" t="s">
        <v>54</v>
      </c>
      <c r="L895" s="1">
        <v>42412.461805555555</v>
      </c>
      <c r="M895" s="1">
        <v>42412</v>
      </c>
      <c r="N895" s="3">
        <f>INT(BrightTV_JoinedTablesnw_2026_04_16_23_55_09[[#This Row],[Viewership.RecordDate22]])</f>
        <v>42412</v>
      </c>
      <c r="O895" s="2">
        <v>0.46180555555555558</v>
      </c>
      <c r="P895" t="s">
        <v>200</v>
      </c>
      <c r="Q895">
        <v>788990</v>
      </c>
      <c r="R895" t="s">
        <v>20</v>
      </c>
    </row>
    <row r="896" spans="1:18" x14ac:dyDescent="0.25">
      <c r="A896">
        <v>788990</v>
      </c>
      <c r="B896" t="s">
        <v>35</v>
      </c>
      <c r="C896" t="s">
        <v>94</v>
      </c>
      <c r="D896" t="s">
        <v>37</v>
      </c>
      <c r="E896" t="s">
        <v>38</v>
      </c>
      <c r="F896" t="s">
        <v>39</v>
      </c>
      <c r="G896">
        <v>27</v>
      </c>
      <c r="H896" t="s">
        <v>75</v>
      </c>
      <c r="I896" t="s">
        <v>41</v>
      </c>
      <c r="J896">
        <v>788990</v>
      </c>
      <c r="K896" t="s">
        <v>32</v>
      </c>
      <c r="L896" s="1">
        <v>42408.996527777781</v>
      </c>
      <c r="M896" s="1">
        <v>42408</v>
      </c>
      <c r="N896" s="3">
        <f>INT(BrightTV_JoinedTablesnw_2026_04_16_23_55_09[[#This Row],[Viewership.RecordDate22]])</f>
        <v>42408</v>
      </c>
      <c r="O896" s="2">
        <v>0.99652777777777779</v>
      </c>
      <c r="P896" t="s">
        <v>185</v>
      </c>
      <c r="Q896">
        <v>788990</v>
      </c>
      <c r="R896" t="s">
        <v>20</v>
      </c>
    </row>
    <row r="897" spans="1:18" x14ac:dyDescent="0.25">
      <c r="A897">
        <v>788992</v>
      </c>
      <c r="B897" t="s">
        <v>223</v>
      </c>
      <c r="C897" t="s">
        <v>104</v>
      </c>
      <c r="D897" t="s">
        <v>279</v>
      </c>
      <c r="E897" t="s">
        <v>38</v>
      </c>
      <c r="F897" t="s">
        <v>39</v>
      </c>
      <c r="G897">
        <v>29</v>
      </c>
      <c r="H897" t="s">
        <v>40</v>
      </c>
      <c r="I897" t="s">
        <v>226</v>
      </c>
      <c r="J897">
        <v>788992</v>
      </c>
      <c r="K897" t="s">
        <v>32</v>
      </c>
      <c r="L897" s="1">
        <v>42380.445833333331</v>
      </c>
      <c r="M897" s="1">
        <v>42380</v>
      </c>
      <c r="N897" s="3">
        <f>INT(BrightTV_JoinedTablesnw_2026_04_16_23_55_09[[#This Row],[Viewership.RecordDate22]])</f>
        <v>42380</v>
      </c>
      <c r="O897" s="2">
        <v>0.44583333333333336</v>
      </c>
      <c r="P897" t="s">
        <v>1020</v>
      </c>
      <c r="Q897">
        <v>788992</v>
      </c>
      <c r="R897" t="s">
        <v>20</v>
      </c>
    </row>
    <row r="898" spans="1:18" x14ac:dyDescent="0.25">
      <c r="A898">
        <v>788994</v>
      </c>
      <c r="B898" t="s">
        <v>72</v>
      </c>
      <c r="C898" t="s">
        <v>224</v>
      </c>
      <c r="D898" t="s">
        <v>74</v>
      </c>
      <c r="E898" t="s">
        <v>38</v>
      </c>
      <c r="F898" t="s">
        <v>16</v>
      </c>
      <c r="G898">
        <v>44</v>
      </c>
      <c r="H898" t="s">
        <v>60</v>
      </c>
      <c r="I898" t="s">
        <v>76</v>
      </c>
      <c r="J898">
        <v>788994</v>
      </c>
      <c r="K898" t="s">
        <v>18</v>
      </c>
      <c r="L898" s="1">
        <v>42424.481944444444</v>
      </c>
      <c r="M898" s="1">
        <v>42424</v>
      </c>
      <c r="N898" s="3">
        <f>INT(BrightTV_JoinedTablesnw_2026_04_16_23_55_09[[#This Row],[Viewership.RecordDate22]])</f>
        <v>42424</v>
      </c>
      <c r="O898" s="2">
        <v>0.48194444444444445</v>
      </c>
      <c r="P898" t="s">
        <v>1021</v>
      </c>
      <c r="Q898">
        <v>788994</v>
      </c>
      <c r="R898" t="s">
        <v>20</v>
      </c>
    </row>
    <row r="899" spans="1:18" x14ac:dyDescent="0.25">
      <c r="A899">
        <v>788997</v>
      </c>
      <c r="B899" t="s">
        <v>426</v>
      </c>
      <c r="C899" t="s">
        <v>81</v>
      </c>
      <c r="D899" t="s">
        <v>427</v>
      </c>
      <c r="E899" t="s">
        <v>38</v>
      </c>
      <c r="F899" t="s">
        <v>39</v>
      </c>
      <c r="G899">
        <v>30</v>
      </c>
      <c r="H899" t="s">
        <v>40</v>
      </c>
      <c r="I899" t="s">
        <v>428</v>
      </c>
      <c r="J899">
        <v>788997</v>
      </c>
      <c r="K899" t="s">
        <v>129</v>
      </c>
      <c r="L899" s="1">
        <v>42384.592361111114</v>
      </c>
      <c r="M899" s="1">
        <v>42384</v>
      </c>
      <c r="N899" s="3">
        <f>INT(BrightTV_JoinedTablesnw_2026_04_16_23_55_09[[#This Row],[Viewership.RecordDate22]])</f>
        <v>42384</v>
      </c>
      <c r="O899" s="2">
        <v>0.59236111111111112</v>
      </c>
      <c r="P899" t="s">
        <v>523</v>
      </c>
      <c r="Q899">
        <v>788997</v>
      </c>
      <c r="R899" t="s">
        <v>20</v>
      </c>
    </row>
    <row r="900" spans="1:18" x14ac:dyDescent="0.25">
      <c r="A900">
        <v>788997</v>
      </c>
      <c r="B900" t="s">
        <v>426</v>
      </c>
      <c r="C900" t="s">
        <v>81</v>
      </c>
      <c r="D900" t="s">
        <v>427</v>
      </c>
      <c r="E900" t="s">
        <v>38</v>
      </c>
      <c r="F900" t="s">
        <v>39</v>
      </c>
      <c r="G900">
        <v>30</v>
      </c>
      <c r="H900" t="s">
        <v>40</v>
      </c>
      <c r="I900" t="s">
        <v>428</v>
      </c>
      <c r="J900">
        <v>788997</v>
      </c>
      <c r="K900" t="s">
        <v>129</v>
      </c>
      <c r="L900" s="1">
        <v>42382.444444444445</v>
      </c>
      <c r="M900" s="1">
        <v>42382</v>
      </c>
      <c r="N900" s="3">
        <f>INT(BrightTV_JoinedTablesnw_2026_04_16_23_55_09[[#This Row],[Viewership.RecordDate22]])</f>
        <v>42382</v>
      </c>
      <c r="O900" s="2">
        <v>0.44444444444444442</v>
      </c>
      <c r="P900" t="s">
        <v>1022</v>
      </c>
      <c r="Q900">
        <v>788997</v>
      </c>
      <c r="R900" t="s">
        <v>20</v>
      </c>
    </row>
    <row r="901" spans="1:18" x14ac:dyDescent="0.25">
      <c r="A901">
        <v>788997</v>
      </c>
      <c r="B901" t="s">
        <v>426</v>
      </c>
      <c r="C901" t="s">
        <v>81</v>
      </c>
      <c r="D901" t="s">
        <v>427</v>
      </c>
      <c r="E901" t="s">
        <v>38</v>
      </c>
      <c r="F901" t="s">
        <v>39</v>
      </c>
      <c r="G901">
        <v>30</v>
      </c>
      <c r="H901" t="s">
        <v>40</v>
      </c>
      <c r="I901" t="s">
        <v>428</v>
      </c>
      <c r="J901">
        <v>788997</v>
      </c>
      <c r="K901" t="s">
        <v>77</v>
      </c>
      <c r="L901" s="1">
        <v>42409.881249999999</v>
      </c>
      <c r="M901" s="1">
        <v>42409</v>
      </c>
      <c r="N901" s="3">
        <f>INT(BrightTV_JoinedTablesnw_2026_04_16_23_55_09[[#This Row],[Viewership.RecordDate22]])</f>
        <v>42409</v>
      </c>
      <c r="O901" s="2">
        <v>0.88124999999999998</v>
      </c>
      <c r="P901" t="s">
        <v>1023</v>
      </c>
      <c r="Q901">
        <v>788997</v>
      </c>
      <c r="R901" t="s">
        <v>20</v>
      </c>
    </row>
    <row r="902" spans="1:18" x14ac:dyDescent="0.25">
      <c r="A902">
        <v>788998</v>
      </c>
      <c r="B902" t="s">
        <v>576</v>
      </c>
      <c r="C902" t="s">
        <v>73</v>
      </c>
      <c r="D902" t="s">
        <v>852</v>
      </c>
      <c r="E902" t="s">
        <v>38</v>
      </c>
      <c r="F902" t="s">
        <v>25</v>
      </c>
      <c r="G902">
        <v>41</v>
      </c>
      <c r="H902" t="s">
        <v>40</v>
      </c>
      <c r="I902" t="s">
        <v>578</v>
      </c>
      <c r="J902">
        <v>788998</v>
      </c>
      <c r="K902" t="s">
        <v>18</v>
      </c>
      <c r="L902" s="1">
        <v>42419.572222222225</v>
      </c>
      <c r="M902" s="1">
        <v>42419</v>
      </c>
      <c r="N902" s="3">
        <f>INT(BrightTV_JoinedTablesnw_2026_04_16_23_55_09[[#This Row],[Viewership.RecordDate22]])</f>
        <v>42419</v>
      </c>
      <c r="O902" s="2">
        <v>0.57222222222222219</v>
      </c>
      <c r="P902" t="s">
        <v>1024</v>
      </c>
      <c r="Q902">
        <v>788998</v>
      </c>
      <c r="R902" t="s">
        <v>20</v>
      </c>
    </row>
    <row r="903" spans="1:18" x14ac:dyDescent="0.25">
      <c r="A903">
        <v>788999</v>
      </c>
      <c r="B903" t="s">
        <v>176</v>
      </c>
      <c r="C903" t="s">
        <v>177</v>
      </c>
      <c r="D903" t="s">
        <v>1025</v>
      </c>
      <c r="E903" t="s">
        <v>24</v>
      </c>
      <c r="F903" t="s">
        <v>25</v>
      </c>
      <c r="G903">
        <v>41</v>
      </c>
      <c r="H903" t="s">
        <v>52</v>
      </c>
      <c r="I903" t="s">
        <v>1026</v>
      </c>
      <c r="J903">
        <v>788999</v>
      </c>
      <c r="K903" t="s">
        <v>84</v>
      </c>
      <c r="L903" s="1">
        <v>42448.789583333331</v>
      </c>
      <c r="M903" s="1">
        <v>42448</v>
      </c>
      <c r="N903" s="3">
        <f>INT(BrightTV_JoinedTablesnw_2026_04_16_23_55_09[[#This Row],[Viewership.RecordDate22]])</f>
        <v>42448</v>
      </c>
      <c r="O903" s="2">
        <v>0.7895833333333333</v>
      </c>
      <c r="P903" t="s">
        <v>1027</v>
      </c>
      <c r="Q903">
        <v>788999</v>
      </c>
      <c r="R903" t="s">
        <v>20</v>
      </c>
    </row>
    <row r="904" spans="1:18" x14ac:dyDescent="0.25">
      <c r="A904">
        <v>789004</v>
      </c>
      <c r="B904" t="s">
        <v>237</v>
      </c>
      <c r="C904" t="s">
        <v>412</v>
      </c>
      <c r="D904" t="s">
        <v>585</v>
      </c>
      <c r="E904" t="s">
        <v>38</v>
      </c>
      <c r="F904" t="s">
        <v>16</v>
      </c>
      <c r="G904">
        <v>36</v>
      </c>
      <c r="H904" t="s">
        <v>173</v>
      </c>
      <c r="I904" t="s">
        <v>240</v>
      </c>
      <c r="J904">
        <v>789004</v>
      </c>
      <c r="K904" t="s">
        <v>129</v>
      </c>
      <c r="L904" s="1">
        <v>42422.886805555558</v>
      </c>
      <c r="M904" s="1">
        <v>42422</v>
      </c>
      <c r="N904" s="3">
        <f>INT(BrightTV_JoinedTablesnw_2026_04_16_23_55_09[[#This Row],[Viewership.RecordDate22]])</f>
        <v>42422</v>
      </c>
      <c r="O904" s="2">
        <v>0.88680555555555551</v>
      </c>
      <c r="P904" t="s">
        <v>1028</v>
      </c>
      <c r="Q904">
        <v>789004</v>
      </c>
      <c r="R904" t="s">
        <v>20</v>
      </c>
    </row>
    <row r="905" spans="1:18" x14ac:dyDescent="0.25">
      <c r="A905">
        <v>789004</v>
      </c>
      <c r="B905" t="s">
        <v>237</v>
      </c>
      <c r="C905" t="s">
        <v>412</v>
      </c>
      <c r="D905" t="s">
        <v>585</v>
      </c>
      <c r="E905" t="s">
        <v>38</v>
      </c>
      <c r="F905" t="s">
        <v>16</v>
      </c>
      <c r="G905">
        <v>36</v>
      </c>
      <c r="H905" t="s">
        <v>173</v>
      </c>
      <c r="I905" t="s">
        <v>240</v>
      </c>
      <c r="J905">
        <v>789004</v>
      </c>
      <c r="K905" t="s">
        <v>32</v>
      </c>
      <c r="L905" s="1">
        <v>42404.434027777781</v>
      </c>
      <c r="M905" s="1">
        <v>42404</v>
      </c>
      <c r="N905" s="3">
        <f>INT(BrightTV_JoinedTablesnw_2026_04_16_23_55_09[[#This Row],[Viewership.RecordDate22]])</f>
        <v>42404</v>
      </c>
      <c r="O905" s="2">
        <v>0.43402777777777779</v>
      </c>
      <c r="P905" t="s">
        <v>1029</v>
      </c>
      <c r="Q905">
        <v>789004</v>
      </c>
      <c r="R905" t="s">
        <v>20</v>
      </c>
    </row>
    <row r="906" spans="1:18" x14ac:dyDescent="0.25">
      <c r="A906">
        <v>789004</v>
      </c>
      <c r="B906" t="s">
        <v>237</v>
      </c>
      <c r="C906" t="s">
        <v>412</v>
      </c>
      <c r="D906" t="s">
        <v>585</v>
      </c>
      <c r="E906" t="s">
        <v>38</v>
      </c>
      <c r="F906" t="s">
        <v>16</v>
      </c>
      <c r="G906">
        <v>36</v>
      </c>
      <c r="H906" t="s">
        <v>173</v>
      </c>
      <c r="I906" t="s">
        <v>240</v>
      </c>
      <c r="J906">
        <v>789004</v>
      </c>
      <c r="K906" t="s">
        <v>54</v>
      </c>
      <c r="L906" s="1">
        <v>42407.665972222225</v>
      </c>
      <c r="M906" s="1">
        <v>42407</v>
      </c>
      <c r="N906" s="3">
        <f>INT(BrightTV_JoinedTablesnw_2026_04_16_23_55_09[[#This Row],[Viewership.RecordDate22]])</f>
        <v>42407</v>
      </c>
      <c r="O906" s="2">
        <v>0.66597222222222219</v>
      </c>
      <c r="P906" t="s">
        <v>1030</v>
      </c>
      <c r="Q906">
        <v>789004</v>
      </c>
      <c r="R906" t="s">
        <v>20</v>
      </c>
    </row>
    <row r="907" spans="1:18" x14ac:dyDescent="0.25">
      <c r="A907">
        <v>789004</v>
      </c>
      <c r="B907" t="s">
        <v>237</v>
      </c>
      <c r="C907" t="s">
        <v>412</v>
      </c>
      <c r="D907" t="s">
        <v>585</v>
      </c>
      <c r="E907" t="s">
        <v>38</v>
      </c>
      <c r="F907" t="s">
        <v>16</v>
      </c>
      <c r="G907">
        <v>36</v>
      </c>
      <c r="H907" t="s">
        <v>173</v>
      </c>
      <c r="I907" t="s">
        <v>240</v>
      </c>
      <c r="J907">
        <v>789004</v>
      </c>
      <c r="K907" t="s">
        <v>129</v>
      </c>
      <c r="L907" s="1">
        <v>42410.904166666667</v>
      </c>
      <c r="M907" s="1">
        <v>42410</v>
      </c>
      <c r="N907" s="3">
        <f>INT(BrightTV_JoinedTablesnw_2026_04_16_23_55_09[[#This Row],[Viewership.RecordDate22]])</f>
        <v>42410</v>
      </c>
      <c r="O907" s="2">
        <v>0.90416666666666667</v>
      </c>
      <c r="P907" t="s">
        <v>1031</v>
      </c>
      <c r="Q907">
        <v>789004</v>
      </c>
      <c r="R907" t="s">
        <v>20</v>
      </c>
    </row>
    <row r="908" spans="1:18" x14ac:dyDescent="0.25">
      <c r="A908">
        <v>789004</v>
      </c>
      <c r="B908" t="s">
        <v>237</v>
      </c>
      <c r="C908" t="s">
        <v>412</v>
      </c>
      <c r="D908" t="s">
        <v>585</v>
      </c>
      <c r="E908" t="s">
        <v>38</v>
      </c>
      <c r="F908" t="s">
        <v>16</v>
      </c>
      <c r="G908">
        <v>36</v>
      </c>
      <c r="H908" t="s">
        <v>173</v>
      </c>
      <c r="I908" t="s">
        <v>240</v>
      </c>
      <c r="J908">
        <v>789004</v>
      </c>
      <c r="K908" t="s">
        <v>30</v>
      </c>
      <c r="L908" s="1">
        <v>42404.599305555559</v>
      </c>
      <c r="M908" s="1">
        <v>42404</v>
      </c>
      <c r="N908" s="3">
        <f>INT(BrightTV_JoinedTablesnw_2026_04_16_23_55_09[[#This Row],[Viewership.RecordDate22]])</f>
        <v>42404</v>
      </c>
      <c r="O908" s="2">
        <v>0.59930555555555554</v>
      </c>
      <c r="P908" t="s">
        <v>215</v>
      </c>
      <c r="Q908">
        <v>789004</v>
      </c>
      <c r="R908" t="s">
        <v>20</v>
      </c>
    </row>
    <row r="909" spans="1:18" x14ac:dyDescent="0.25">
      <c r="A909">
        <v>789004</v>
      </c>
      <c r="B909" t="s">
        <v>237</v>
      </c>
      <c r="C909" t="s">
        <v>412</v>
      </c>
      <c r="D909" t="s">
        <v>585</v>
      </c>
      <c r="E909" t="s">
        <v>38</v>
      </c>
      <c r="F909" t="s">
        <v>16</v>
      </c>
      <c r="G909">
        <v>36</v>
      </c>
      <c r="H909" t="s">
        <v>173</v>
      </c>
      <c r="I909" t="s">
        <v>240</v>
      </c>
      <c r="J909">
        <v>789004</v>
      </c>
      <c r="K909" t="s">
        <v>129</v>
      </c>
      <c r="L909" s="1">
        <v>42409.540277777778</v>
      </c>
      <c r="M909" s="1">
        <v>42409</v>
      </c>
      <c r="N909" s="3">
        <f>INT(BrightTV_JoinedTablesnw_2026_04_16_23_55_09[[#This Row],[Viewership.RecordDate22]])</f>
        <v>42409</v>
      </c>
      <c r="O909" s="2">
        <v>0.54027777777777775</v>
      </c>
      <c r="P909" t="s">
        <v>1032</v>
      </c>
      <c r="Q909">
        <v>789004</v>
      </c>
      <c r="R909" t="s">
        <v>20</v>
      </c>
    </row>
    <row r="910" spans="1:18" x14ac:dyDescent="0.25">
      <c r="A910">
        <v>789004</v>
      </c>
      <c r="B910" t="s">
        <v>237</v>
      </c>
      <c r="C910" t="s">
        <v>412</v>
      </c>
      <c r="D910" t="s">
        <v>585</v>
      </c>
      <c r="E910" t="s">
        <v>38</v>
      </c>
      <c r="F910" t="s">
        <v>16</v>
      </c>
      <c r="G910">
        <v>36</v>
      </c>
      <c r="H910" t="s">
        <v>173</v>
      </c>
      <c r="I910" t="s">
        <v>240</v>
      </c>
      <c r="J910">
        <v>789004</v>
      </c>
      <c r="K910" t="s">
        <v>47</v>
      </c>
      <c r="L910" s="1">
        <v>42412.57916666667</v>
      </c>
      <c r="M910" s="1">
        <v>42412</v>
      </c>
      <c r="N910" s="3">
        <f>INT(BrightTV_JoinedTablesnw_2026_04_16_23_55_09[[#This Row],[Viewership.RecordDate22]])</f>
        <v>42412</v>
      </c>
      <c r="O910" s="2">
        <v>0.57916666666666672</v>
      </c>
      <c r="P910" t="s">
        <v>1033</v>
      </c>
      <c r="Q910">
        <v>789004</v>
      </c>
      <c r="R910" t="s">
        <v>20</v>
      </c>
    </row>
    <row r="911" spans="1:18" x14ac:dyDescent="0.25">
      <c r="A911">
        <v>789004</v>
      </c>
      <c r="B911" t="s">
        <v>237</v>
      </c>
      <c r="C911" t="s">
        <v>412</v>
      </c>
      <c r="D911" t="s">
        <v>585</v>
      </c>
      <c r="E911" t="s">
        <v>38</v>
      </c>
      <c r="F911" t="s">
        <v>16</v>
      </c>
      <c r="G911">
        <v>36</v>
      </c>
      <c r="H911" t="s">
        <v>173</v>
      </c>
      <c r="I911" t="s">
        <v>240</v>
      </c>
      <c r="J911">
        <v>789004</v>
      </c>
      <c r="K911" t="s">
        <v>129</v>
      </c>
      <c r="L911" s="1">
        <v>42423.585416666669</v>
      </c>
      <c r="M911" s="1">
        <v>42423</v>
      </c>
      <c r="N911" s="3">
        <f>INT(BrightTV_JoinedTablesnw_2026_04_16_23_55_09[[#This Row],[Viewership.RecordDate22]])</f>
        <v>42423</v>
      </c>
      <c r="O911" s="2">
        <v>0.5854166666666667</v>
      </c>
      <c r="P911" t="s">
        <v>1034</v>
      </c>
      <c r="Q911">
        <v>789004</v>
      </c>
      <c r="R911" t="s">
        <v>20</v>
      </c>
    </row>
    <row r="912" spans="1:18" x14ac:dyDescent="0.25">
      <c r="A912">
        <v>789010</v>
      </c>
      <c r="B912" t="s">
        <v>65</v>
      </c>
      <c r="C912" t="s">
        <v>155</v>
      </c>
      <c r="D912" t="s">
        <v>1035</v>
      </c>
      <c r="E912" t="s">
        <v>38</v>
      </c>
      <c r="F912" t="s">
        <v>39</v>
      </c>
      <c r="G912">
        <v>23</v>
      </c>
      <c r="H912" t="s">
        <v>173</v>
      </c>
      <c r="I912" t="s">
        <v>68</v>
      </c>
      <c r="J912">
        <v>789010</v>
      </c>
      <c r="K912" t="s">
        <v>30</v>
      </c>
      <c r="L912" s="1">
        <v>42410.405555555553</v>
      </c>
      <c r="M912" s="1">
        <v>42410</v>
      </c>
      <c r="N912" s="3">
        <f>INT(BrightTV_JoinedTablesnw_2026_04_16_23_55_09[[#This Row],[Viewership.RecordDate22]])</f>
        <v>42410</v>
      </c>
      <c r="O912" s="2">
        <v>0.40555555555555556</v>
      </c>
      <c r="P912" t="s">
        <v>324</v>
      </c>
      <c r="Q912">
        <v>789010</v>
      </c>
      <c r="R912" t="s">
        <v>20</v>
      </c>
    </row>
    <row r="913" spans="1:18" x14ac:dyDescent="0.25">
      <c r="A913">
        <v>789010</v>
      </c>
      <c r="B913" t="s">
        <v>65</v>
      </c>
      <c r="C913" t="s">
        <v>155</v>
      </c>
      <c r="D913" t="s">
        <v>1035</v>
      </c>
      <c r="E913" t="s">
        <v>38</v>
      </c>
      <c r="F913" t="s">
        <v>39</v>
      </c>
      <c r="G913">
        <v>23</v>
      </c>
      <c r="H913" t="s">
        <v>173</v>
      </c>
      <c r="I913" t="s">
        <v>68</v>
      </c>
      <c r="J913">
        <v>789010</v>
      </c>
      <c r="K913" t="s">
        <v>47</v>
      </c>
      <c r="L913" s="1">
        <v>42410.368055555555</v>
      </c>
      <c r="M913" s="1">
        <v>42410</v>
      </c>
      <c r="N913" s="3">
        <f>INT(BrightTV_JoinedTablesnw_2026_04_16_23_55_09[[#This Row],[Viewership.RecordDate22]])</f>
        <v>42410</v>
      </c>
      <c r="O913" s="2">
        <v>0.36805555555555558</v>
      </c>
      <c r="P913" t="s">
        <v>447</v>
      </c>
      <c r="Q913">
        <v>789010</v>
      </c>
      <c r="R913" t="s">
        <v>20</v>
      </c>
    </row>
    <row r="914" spans="1:18" x14ac:dyDescent="0.25">
      <c r="A914">
        <v>789010</v>
      </c>
      <c r="B914" t="s">
        <v>65</v>
      </c>
      <c r="C914" t="s">
        <v>155</v>
      </c>
      <c r="D914" t="s">
        <v>1035</v>
      </c>
      <c r="E914" t="s">
        <v>38</v>
      </c>
      <c r="F914" t="s">
        <v>39</v>
      </c>
      <c r="G914">
        <v>23</v>
      </c>
      <c r="H914" t="s">
        <v>173</v>
      </c>
      <c r="I914" t="s">
        <v>68</v>
      </c>
      <c r="J914">
        <v>789010</v>
      </c>
      <c r="K914" t="s">
        <v>77</v>
      </c>
      <c r="L914" s="1">
        <v>42410.940972222219</v>
      </c>
      <c r="M914" s="1">
        <v>42410</v>
      </c>
      <c r="N914" s="3">
        <f>INT(BrightTV_JoinedTablesnw_2026_04_16_23_55_09[[#This Row],[Viewership.RecordDate22]])</f>
        <v>42410</v>
      </c>
      <c r="O914" s="2">
        <v>0.94097222222222221</v>
      </c>
      <c r="P914" t="s">
        <v>216</v>
      </c>
      <c r="Q914">
        <v>789010</v>
      </c>
      <c r="R914" t="s">
        <v>20</v>
      </c>
    </row>
    <row r="915" spans="1:18" x14ac:dyDescent="0.25">
      <c r="A915">
        <v>809172</v>
      </c>
      <c r="B915" t="s">
        <v>181</v>
      </c>
      <c r="C915" t="s">
        <v>182</v>
      </c>
      <c r="D915" t="s">
        <v>1036</v>
      </c>
      <c r="E915" t="s">
        <v>24</v>
      </c>
      <c r="F915" t="s">
        <v>96</v>
      </c>
      <c r="G915">
        <v>27</v>
      </c>
      <c r="H915" t="s">
        <v>75</v>
      </c>
      <c r="I915" t="s">
        <v>1037</v>
      </c>
      <c r="J915">
        <v>809172</v>
      </c>
      <c r="K915" t="s">
        <v>129</v>
      </c>
      <c r="L915" s="1">
        <v>42445.883333333331</v>
      </c>
      <c r="M915" s="1">
        <v>42445</v>
      </c>
      <c r="N915" s="3">
        <f>INT(BrightTV_JoinedTablesnw_2026_04_16_23_55_09[[#This Row],[Viewership.RecordDate22]])</f>
        <v>42445</v>
      </c>
      <c r="O915" s="2">
        <v>0.8833333333333333</v>
      </c>
      <c r="P915" t="s">
        <v>1038</v>
      </c>
      <c r="Q915">
        <v>809172</v>
      </c>
      <c r="R915" t="s">
        <v>20</v>
      </c>
    </row>
    <row r="916" spans="1:18" x14ac:dyDescent="0.25">
      <c r="A916">
        <v>809173</v>
      </c>
      <c r="B916" t="s">
        <v>135</v>
      </c>
      <c r="C916" t="s">
        <v>224</v>
      </c>
      <c r="D916" t="s">
        <v>203</v>
      </c>
      <c r="E916" t="s">
        <v>38</v>
      </c>
      <c r="F916" t="s">
        <v>39</v>
      </c>
      <c r="G916">
        <v>35</v>
      </c>
      <c r="H916" t="s">
        <v>52</v>
      </c>
      <c r="I916" t="s">
        <v>139</v>
      </c>
      <c r="J916">
        <v>809173</v>
      </c>
      <c r="K916" t="s">
        <v>186</v>
      </c>
      <c r="L916" s="1">
        <v>42419.652083333334</v>
      </c>
      <c r="M916" s="1">
        <v>42419</v>
      </c>
      <c r="N916" s="3">
        <f>INT(BrightTV_JoinedTablesnw_2026_04_16_23_55_09[[#This Row],[Viewership.RecordDate22]])</f>
        <v>42419</v>
      </c>
      <c r="O916" s="2">
        <v>0.65208333333333335</v>
      </c>
      <c r="P916" t="s">
        <v>754</v>
      </c>
      <c r="Q916">
        <v>809173</v>
      </c>
      <c r="R916" t="s">
        <v>20</v>
      </c>
    </row>
    <row r="917" spans="1:18" x14ac:dyDescent="0.25">
      <c r="A917">
        <v>809173</v>
      </c>
      <c r="B917" t="s">
        <v>135</v>
      </c>
      <c r="C917" t="s">
        <v>224</v>
      </c>
      <c r="D917" t="s">
        <v>203</v>
      </c>
      <c r="E917" t="s">
        <v>38</v>
      </c>
      <c r="F917" t="s">
        <v>39</v>
      </c>
      <c r="G917">
        <v>35</v>
      </c>
      <c r="H917" t="s">
        <v>52</v>
      </c>
      <c r="I917" t="s">
        <v>139</v>
      </c>
      <c r="J917">
        <v>809173</v>
      </c>
      <c r="K917" t="s">
        <v>129</v>
      </c>
      <c r="L917" s="1">
        <v>42410.531944444447</v>
      </c>
      <c r="M917" s="1">
        <v>42410</v>
      </c>
      <c r="N917" s="3">
        <f>INT(BrightTV_JoinedTablesnw_2026_04_16_23_55_09[[#This Row],[Viewership.RecordDate22]])</f>
        <v>42410</v>
      </c>
      <c r="O917" s="2">
        <v>0.53194444444444444</v>
      </c>
      <c r="P917" t="s">
        <v>64</v>
      </c>
      <c r="Q917">
        <v>809173</v>
      </c>
      <c r="R917" t="s">
        <v>20</v>
      </c>
    </row>
    <row r="918" spans="1:18" x14ac:dyDescent="0.25">
      <c r="A918">
        <v>809173</v>
      </c>
      <c r="B918" t="s">
        <v>135</v>
      </c>
      <c r="C918" t="s">
        <v>224</v>
      </c>
      <c r="D918" t="s">
        <v>203</v>
      </c>
      <c r="E918" t="s">
        <v>38</v>
      </c>
      <c r="F918" t="s">
        <v>39</v>
      </c>
      <c r="G918">
        <v>35</v>
      </c>
      <c r="H918" t="s">
        <v>52</v>
      </c>
      <c r="I918" t="s">
        <v>139</v>
      </c>
      <c r="J918">
        <v>809173</v>
      </c>
      <c r="K918" t="s">
        <v>54</v>
      </c>
      <c r="L918" s="1">
        <v>42409.461805555555</v>
      </c>
      <c r="M918" s="1">
        <v>42409</v>
      </c>
      <c r="N918" s="3">
        <f>INT(BrightTV_JoinedTablesnw_2026_04_16_23_55_09[[#This Row],[Viewership.RecordDate22]])</f>
        <v>42409</v>
      </c>
      <c r="O918" s="2">
        <v>0.46180555555555558</v>
      </c>
      <c r="P918" t="s">
        <v>916</v>
      </c>
      <c r="Q918">
        <v>809173</v>
      </c>
      <c r="R918" t="s">
        <v>20</v>
      </c>
    </row>
    <row r="919" spans="1:18" x14ac:dyDescent="0.25">
      <c r="A919">
        <v>809176</v>
      </c>
      <c r="B919" t="s">
        <v>35</v>
      </c>
      <c r="C919" t="s">
        <v>73</v>
      </c>
      <c r="D919" t="s">
        <v>277</v>
      </c>
      <c r="E919" t="s">
        <v>38</v>
      </c>
      <c r="F919" t="s">
        <v>39</v>
      </c>
      <c r="G919">
        <v>41</v>
      </c>
      <c r="H919" t="s">
        <v>52</v>
      </c>
      <c r="I919" t="s">
        <v>41</v>
      </c>
      <c r="J919">
        <v>809176</v>
      </c>
      <c r="K919" t="s">
        <v>47</v>
      </c>
      <c r="L919" s="1">
        <v>42419.620833333334</v>
      </c>
      <c r="M919" s="1">
        <v>42419</v>
      </c>
      <c r="N919" s="3">
        <f>INT(BrightTV_JoinedTablesnw_2026_04_16_23_55_09[[#This Row],[Viewership.RecordDate22]])</f>
        <v>42419</v>
      </c>
      <c r="O919" s="2">
        <v>0.62083333333333335</v>
      </c>
      <c r="P919" t="s">
        <v>288</v>
      </c>
      <c r="Q919">
        <v>809176</v>
      </c>
      <c r="R919" t="s">
        <v>20</v>
      </c>
    </row>
    <row r="920" spans="1:18" x14ac:dyDescent="0.25">
      <c r="A920">
        <v>809176</v>
      </c>
      <c r="B920" t="s">
        <v>35</v>
      </c>
      <c r="C920" t="s">
        <v>73</v>
      </c>
      <c r="D920" t="s">
        <v>277</v>
      </c>
      <c r="E920" t="s">
        <v>38</v>
      </c>
      <c r="F920" t="s">
        <v>39</v>
      </c>
      <c r="G920">
        <v>41</v>
      </c>
      <c r="H920" t="s">
        <v>52</v>
      </c>
      <c r="I920" t="s">
        <v>41</v>
      </c>
      <c r="J920">
        <v>809176</v>
      </c>
      <c r="K920" t="s">
        <v>54</v>
      </c>
      <c r="L920" s="1">
        <v>42388.897916666669</v>
      </c>
      <c r="M920" s="1">
        <v>42388</v>
      </c>
      <c r="N920" s="3">
        <f>INT(BrightTV_JoinedTablesnw_2026_04_16_23_55_09[[#This Row],[Viewership.RecordDate22]])</f>
        <v>42388</v>
      </c>
      <c r="O920" s="2">
        <v>0.8979166666666667</v>
      </c>
      <c r="P920" t="s">
        <v>64</v>
      </c>
      <c r="Q920">
        <v>809176</v>
      </c>
      <c r="R920" t="s">
        <v>20</v>
      </c>
    </row>
    <row r="921" spans="1:18" x14ac:dyDescent="0.25">
      <c r="A921">
        <v>809177</v>
      </c>
      <c r="B921" t="s">
        <v>232</v>
      </c>
      <c r="C921" t="s">
        <v>772</v>
      </c>
      <c r="D921" t="s">
        <v>234</v>
      </c>
      <c r="E921" t="s">
        <v>38</v>
      </c>
      <c r="F921" t="s">
        <v>39</v>
      </c>
      <c r="G921">
        <v>37</v>
      </c>
      <c r="H921" t="s">
        <v>75</v>
      </c>
      <c r="I921" t="s">
        <v>235</v>
      </c>
      <c r="J921">
        <v>809177</v>
      </c>
      <c r="K921" t="s">
        <v>30</v>
      </c>
      <c r="L921" s="1">
        <v>42447.783333333333</v>
      </c>
      <c r="M921" s="1">
        <v>42447</v>
      </c>
      <c r="N921" s="3">
        <f>INT(BrightTV_JoinedTablesnw_2026_04_16_23_55_09[[#This Row],[Viewership.RecordDate22]])</f>
        <v>42447</v>
      </c>
      <c r="O921" s="2">
        <v>0.78333333333333333</v>
      </c>
      <c r="P921" t="s">
        <v>339</v>
      </c>
      <c r="Q921">
        <v>809177</v>
      </c>
      <c r="R921" t="s">
        <v>20</v>
      </c>
    </row>
    <row r="922" spans="1:18" x14ac:dyDescent="0.25">
      <c r="A922">
        <v>809177</v>
      </c>
      <c r="B922" t="s">
        <v>232</v>
      </c>
      <c r="C922" t="s">
        <v>772</v>
      </c>
      <c r="D922" t="s">
        <v>234</v>
      </c>
      <c r="E922" t="s">
        <v>38</v>
      </c>
      <c r="F922" t="s">
        <v>39</v>
      </c>
      <c r="G922">
        <v>37</v>
      </c>
      <c r="H922" t="s">
        <v>75</v>
      </c>
      <c r="I922" t="s">
        <v>235</v>
      </c>
      <c r="J922">
        <v>809177</v>
      </c>
      <c r="K922" t="s">
        <v>54</v>
      </c>
      <c r="L922" s="1">
        <v>42423.463194444441</v>
      </c>
      <c r="M922" s="1">
        <v>42423</v>
      </c>
      <c r="N922" s="3">
        <f>INT(BrightTV_JoinedTablesnw_2026_04_16_23_55_09[[#This Row],[Viewership.RecordDate22]])</f>
        <v>42423</v>
      </c>
      <c r="O922" s="2">
        <v>0.46319444444444446</v>
      </c>
      <c r="P922" t="s">
        <v>1039</v>
      </c>
      <c r="Q922">
        <v>809177</v>
      </c>
      <c r="R922" t="s">
        <v>20</v>
      </c>
    </row>
    <row r="923" spans="1:18" x14ac:dyDescent="0.25">
      <c r="A923">
        <v>809183</v>
      </c>
      <c r="B923" t="s">
        <v>135</v>
      </c>
      <c r="C923" t="s">
        <v>136</v>
      </c>
      <c r="D923" t="s">
        <v>1040</v>
      </c>
      <c r="E923" t="s">
        <v>38</v>
      </c>
      <c r="F923" t="s">
        <v>39</v>
      </c>
      <c r="G923">
        <v>44</v>
      </c>
      <c r="H923" t="s">
        <v>40</v>
      </c>
      <c r="I923" t="s">
        <v>139</v>
      </c>
      <c r="J923">
        <v>809183</v>
      </c>
      <c r="K923" t="s">
        <v>1041</v>
      </c>
      <c r="L923" s="1">
        <v>42408.980555555558</v>
      </c>
      <c r="M923" s="1">
        <v>42408</v>
      </c>
      <c r="N923" s="3">
        <f>INT(BrightTV_JoinedTablesnw_2026_04_16_23_55_09[[#This Row],[Viewership.RecordDate22]])</f>
        <v>42408</v>
      </c>
      <c r="O923" s="2">
        <v>0.98055555555555551</v>
      </c>
      <c r="P923" t="s">
        <v>459</v>
      </c>
      <c r="Q923">
        <v>809183</v>
      </c>
      <c r="R923" t="s">
        <v>20</v>
      </c>
    </row>
    <row r="924" spans="1:18" x14ac:dyDescent="0.25">
      <c r="A924">
        <v>809185</v>
      </c>
      <c r="B924" t="s">
        <v>16</v>
      </c>
      <c r="C924" t="s">
        <v>16</v>
      </c>
      <c r="D924" t="s">
        <v>1042</v>
      </c>
      <c r="E924" t="s">
        <v>16</v>
      </c>
      <c r="F924" t="s">
        <v>16</v>
      </c>
      <c r="G924">
        <v>0</v>
      </c>
      <c r="H924" t="s">
        <v>16</v>
      </c>
      <c r="I924" t="s">
        <v>16</v>
      </c>
      <c r="J924">
        <v>809185</v>
      </c>
      <c r="K924" t="s">
        <v>18</v>
      </c>
      <c r="L924" s="1">
        <v>42448.280555555553</v>
      </c>
      <c r="M924" s="1">
        <v>42448</v>
      </c>
      <c r="N924" s="3">
        <f>INT(BrightTV_JoinedTablesnw_2026_04_16_23_55_09[[#This Row],[Viewership.RecordDate22]])</f>
        <v>42448</v>
      </c>
      <c r="O924" s="2">
        <v>0.28055555555555556</v>
      </c>
      <c r="P924" t="s">
        <v>321</v>
      </c>
      <c r="Q924">
        <v>809185</v>
      </c>
      <c r="R924" t="s">
        <v>20</v>
      </c>
    </row>
    <row r="925" spans="1:18" x14ac:dyDescent="0.25">
      <c r="A925">
        <v>809185</v>
      </c>
      <c r="B925" t="s">
        <v>16</v>
      </c>
      <c r="C925" t="s">
        <v>16</v>
      </c>
      <c r="D925" t="s">
        <v>1042</v>
      </c>
      <c r="E925" t="s">
        <v>16</v>
      </c>
      <c r="F925" t="s">
        <v>16</v>
      </c>
      <c r="G925">
        <v>0</v>
      </c>
      <c r="H925" t="s">
        <v>16</v>
      </c>
      <c r="I925" t="s">
        <v>16</v>
      </c>
      <c r="J925">
        <v>809185</v>
      </c>
      <c r="K925" t="s">
        <v>32</v>
      </c>
      <c r="L925" s="1">
        <v>42448.28125</v>
      </c>
      <c r="M925" s="1">
        <v>42448</v>
      </c>
      <c r="N925" s="3">
        <f>INT(BrightTV_JoinedTablesnw_2026_04_16_23_55_09[[#This Row],[Viewership.RecordDate22]])</f>
        <v>42448</v>
      </c>
      <c r="O925" s="2">
        <v>0.28125</v>
      </c>
      <c r="P925" t="s">
        <v>728</v>
      </c>
      <c r="Q925">
        <v>809185</v>
      </c>
      <c r="R925" t="s">
        <v>20</v>
      </c>
    </row>
    <row r="926" spans="1:18" x14ac:dyDescent="0.25">
      <c r="A926">
        <v>809185</v>
      </c>
      <c r="B926" t="s">
        <v>16</v>
      </c>
      <c r="C926" t="s">
        <v>16</v>
      </c>
      <c r="D926" t="s">
        <v>1042</v>
      </c>
      <c r="E926" t="s">
        <v>16</v>
      </c>
      <c r="F926" t="s">
        <v>16</v>
      </c>
      <c r="G926">
        <v>0</v>
      </c>
      <c r="H926" t="s">
        <v>16</v>
      </c>
      <c r="I926" t="s">
        <v>16</v>
      </c>
      <c r="J926">
        <v>809185</v>
      </c>
      <c r="K926" t="s">
        <v>18</v>
      </c>
      <c r="L926" s="1">
        <v>42448.458333333336</v>
      </c>
      <c r="M926" s="1">
        <v>42448</v>
      </c>
      <c r="N926" s="3">
        <f>INT(BrightTV_JoinedTablesnw_2026_04_16_23_55_09[[#This Row],[Viewership.RecordDate22]])</f>
        <v>42448</v>
      </c>
      <c r="O926" s="2">
        <v>0.45833333333333331</v>
      </c>
      <c r="P926" t="s">
        <v>1043</v>
      </c>
      <c r="Q926">
        <v>809185</v>
      </c>
      <c r="R926" t="s">
        <v>20</v>
      </c>
    </row>
    <row r="927" spans="1:18" x14ac:dyDescent="0.25">
      <c r="A927">
        <v>791497</v>
      </c>
      <c r="B927" t="s">
        <v>135</v>
      </c>
      <c r="C927" t="s">
        <v>344</v>
      </c>
      <c r="D927" t="s">
        <v>773</v>
      </c>
      <c r="E927" t="s">
        <v>38</v>
      </c>
      <c r="F927" t="s">
        <v>39</v>
      </c>
      <c r="G927">
        <v>34</v>
      </c>
      <c r="H927" t="s">
        <v>75</v>
      </c>
      <c r="I927" t="s">
        <v>139</v>
      </c>
      <c r="J927">
        <v>791497</v>
      </c>
      <c r="K927" t="s">
        <v>152</v>
      </c>
      <c r="L927" s="1">
        <v>42388.847916666666</v>
      </c>
      <c r="M927" s="1">
        <v>42388</v>
      </c>
      <c r="N927" s="3">
        <f>INT(BrightTV_JoinedTablesnw_2026_04_16_23_55_09[[#This Row],[Viewership.RecordDate22]])</f>
        <v>42388</v>
      </c>
      <c r="O927" s="2">
        <v>0.84791666666666665</v>
      </c>
      <c r="P927" t="s">
        <v>130</v>
      </c>
      <c r="Q927">
        <v>791497</v>
      </c>
      <c r="R927" t="s">
        <v>20</v>
      </c>
    </row>
    <row r="928" spans="1:18" x14ac:dyDescent="0.25">
      <c r="A928">
        <v>791497</v>
      </c>
      <c r="B928" t="s">
        <v>135</v>
      </c>
      <c r="C928" t="s">
        <v>344</v>
      </c>
      <c r="D928" t="s">
        <v>773</v>
      </c>
      <c r="E928" t="s">
        <v>38</v>
      </c>
      <c r="F928" t="s">
        <v>39</v>
      </c>
      <c r="G928">
        <v>34</v>
      </c>
      <c r="H928" t="s">
        <v>75</v>
      </c>
      <c r="I928" t="s">
        <v>139</v>
      </c>
      <c r="J928">
        <v>791497</v>
      </c>
      <c r="K928" t="s">
        <v>84</v>
      </c>
      <c r="L928" s="1">
        <v>42383.993055555555</v>
      </c>
      <c r="M928" s="1">
        <v>42383</v>
      </c>
      <c r="N928" s="3">
        <f>INT(BrightTV_JoinedTablesnw_2026_04_16_23_55_09[[#This Row],[Viewership.RecordDate22]])</f>
        <v>42383</v>
      </c>
      <c r="O928" s="2">
        <v>0.99305555555555558</v>
      </c>
      <c r="P928" t="s">
        <v>339</v>
      </c>
      <c r="Q928">
        <v>791497</v>
      </c>
      <c r="R928" t="s">
        <v>20</v>
      </c>
    </row>
    <row r="929" spans="1:18" x14ac:dyDescent="0.25">
      <c r="A929">
        <v>809188</v>
      </c>
      <c r="B929" t="s">
        <v>1044</v>
      </c>
      <c r="C929" t="s">
        <v>412</v>
      </c>
      <c r="D929" t="s">
        <v>1045</v>
      </c>
      <c r="E929" t="s">
        <v>24</v>
      </c>
      <c r="F929" t="s">
        <v>39</v>
      </c>
      <c r="G929">
        <v>13</v>
      </c>
      <c r="H929" t="s">
        <v>252</v>
      </c>
      <c r="I929" t="s">
        <v>1046</v>
      </c>
      <c r="J929">
        <v>809188</v>
      </c>
      <c r="K929" t="s">
        <v>54</v>
      </c>
      <c r="L929" s="1">
        <v>42421.880555555559</v>
      </c>
      <c r="M929" s="1">
        <v>42421</v>
      </c>
      <c r="N929" s="3">
        <f>INT(BrightTV_JoinedTablesnw_2026_04_16_23_55_09[[#This Row],[Viewership.RecordDate22]])</f>
        <v>42421</v>
      </c>
      <c r="O929" s="2">
        <v>0.88055555555555554</v>
      </c>
      <c r="P929" t="s">
        <v>1047</v>
      </c>
      <c r="Q929">
        <v>809188</v>
      </c>
      <c r="R929" t="s">
        <v>20</v>
      </c>
    </row>
    <row r="930" spans="1:18" x14ac:dyDescent="0.25">
      <c r="A930">
        <v>803732</v>
      </c>
      <c r="B930" t="s">
        <v>237</v>
      </c>
      <c r="C930" t="s">
        <v>104</v>
      </c>
      <c r="D930" t="s">
        <v>239</v>
      </c>
      <c r="E930" t="s">
        <v>38</v>
      </c>
      <c r="F930" t="s">
        <v>106</v>
      </c>
      <c r="G930">
        <v>43</v>
      </c>
      <c r="H930" t="s">
        <v>52</v>
      </c>
      <c r="I930" t="s">
        <v>240</v>
      </c>
      <c r="J930">
        <v>803732</v>
      </c>
      <c r="K930" t="s">
        <v>32</v>
      </c>
      <c r="L930" s="1">
        <v>42384.038194444445</v>
      </c>
      <c r="M930" s="1">
        <v>42384</v>
      </c>
      <c r="N930" s="3">
        <f>INT(BrightTV_JoinedTablesnw_2026_04_16_23_55_09[[#This Row],[Viewership.RecordDate22]])</f>
        <v>42384</v>
      </c>
      <c r="O930" s="2">
        <v>3.8194444444444448E-2</v>
      </c>
      <c r="P930" t="s">
        <v>599</v>
      </c>
      <c r="Q930">
        <v>803732</v>
      </c>
      <c r="R930" t="s">
        <v>20</v>
      </c>
    </row>
    <row r="931" spans="1:18" x14ac:dyDescent="0.25">
      <c r="A931">
        <v>803732</v>
      </c>
      <c r="B931" t="s">
        <v>237</v>
      </c>
      <c r="C931" t="s">
        <v>104</v>
      </c>
      <c r="D931" t="s">
        <v>239</v>
      </c>
      <c r="E931" t="s">
        <v>38</v>
      </c>
      <c r="F931" t="s">
        <v>106</v>
      </c>
      <c r="G931">
        <v>43</v>
      </c>
      <c r="H931" t="s">
        <v>52</v>
      </c>
      <c r="I931" t="s">
        <v>240</v>
      </c>
      <c r="J931">
        <v>803732</v>
      </c>
      <c r="K931" t="s">
        <v>54</v>
      </c>
      <c r="L931" s="1">
        <v>42382.917361111111</v>
      </c>
      <c r="M931" s="1">
        <v>42382</v>
      </c>
      <c r="N931" s="3">
        <f>INT(BrightTV_JoinedTablesnw_2026_04_16_23_55_09[[#This Row],[Viewership.RecordDate22]])</f>
        <v>42382</v>
      </c>
      <c r="O931" s="2">
        <v>0.91736111111111107</v>
      </c>
      <c r="P931" t="s">
        <v>762</v>
      </c>
      <c r="Q931">
        <v>803732</v>
      </c>
      <c r="R931" t="s">
        <v>20</v>
      </c>
    </row>
    <row r="932" spans="1:18" x14ac:dyDescent="0.25">
      <c r="A932">
        <v>803732</v>
      </c>
      <c r="B932" t="s">
        <v>237</v>
      </c>
      <c r="C932" t="s">
        <v>104</v>
      </c>
      <c r="D932" t="s">
        <v>239</v>
      </c>
      <c r="E932" t="s">
        <v>38</v>
      </c>
      <c r="F932" t="s">
        <v>106</v>
      </c>
      <c r="G932">
        <v>43</v>
      </c>
      <c r="H932" t="s">
        <v>52</v>
      </c>
      <c r="I932" t="s">
        <v>240</v>
      </c>
      <c r="J932">
        <v>803732</v>
      </c>
      <c r="K932" t="s">
        <v>28</v>
      </c>
      <c r="L932" s="1">
        <v>42406.887499999997</v>
      </c>
      <c r="M932" s="1">
        <v>42406</v>
      </c>
      <c r="N932" s="3">
        <f>INT(BrightTV_JoinedTablesnw_2026_04_16_23_55_09[[#This Row],[Viewership.RecordDate22]])</f>
        <v>42406</v>
      </c>
      <c r="O932" s="2">
        <v>0.88749999999999996</v>
      </c>
      <c r="P932" t="s">
        <v>321</v>
      </c>
      <c r="Q932">
        <v>803732</v>
      </c>
      <c r="R932" t="s">
        <v>20</v>
      </c>
    </row>
    <row r="933" spans="1:18" x14ac:dyDescent="0.25">
      <c r="A933">
        <v>803732</v>
      </c>
      <c r="B933" t="s">
        <v>237</v>
      </c>
      <c r="C933" t="s">
        <v>104</v>
      </c>
      <c r="D933" t="s">
        <v>239</v>
      </c>
      <c r="E933" t="s">
        <v>38</v>
      </c>
      <c r="F933" t="s">
        <v>106</v>
      </c>
      <c r="G933">
        <v>43</v>
      </c>
      <c r="H933" t="s">
        <v>52</v>
      </c>
      <c r="I933" t="s">
        <v>240</v>
      </c>
      <c r="J933">
        <v>803732</v>
      </c>
      <c r="K933" t="s">
        <v>30</v>
      </c>
      <c r="L933" s="1">
        <v>42409.80972222222</v>
      </c>
      <c r="M933" s="1">
        <v>42409</v>
      </c>
      <c r="N933" s="3">
        <f>INT(BrightTV_JoinedTablesnw_2026_04_16_23_55_09[[#This Row],[Viewership.RecordDate22]])</f>
        <v>42409</v>
      </c>
      <c r="O933" s="2">
        <v>0.80972222222222223</v>
      </c>
      <c r="P933" t="s">
        <v>401</v>
      </c>
      <c r="Q933">
        <v>803732</v>
      </c>
      <c r="R933" t="s">
        <v>20</v>
      </c>
    </row>
    <row r="934" spans="1:18" x14ac:dyDescent="0.25">
      <c r="A934">
        <v>790685</v>
      </c>
      <c r="B934" t="s">
        <v>441</v>
      </c>
      <c r="C934" t="s">
        <v>36</v>
      </c>
      <c r="D934" t="s">
        <v>522</v>
      </c>
      <c r="E934" t="s">
        <v>38</v>
      </c>
      <c r="F934" t="s">
        <v>39</v>
      </c>
      <c r="G934">
        <v>29</v>
      </c>
      <c r="H934" t="s">
        <v>52</v>
      </c>
      <c r="I934" t="s">
        <v>443</v>
      </c>
      <c r="J934">
        <v>790685</v>
      </c>
      <c r="K934" t="s">
        <v>129</v>
      </c>
      <c r="L934" s="1">
        <v>42414.400000000001</v>
      </c>
      <c r="M934" s="1">
        <v>42414</v>
      </c>
      <c r="N934" s="3">
        <f>INT(BrightTV_JoinedTablesnw_2026_04_16_23_55_09[[#This Row],[Viewership.RecordDate22]])</f>
        <v>42414</v>
      </c>
      <c r="O934" s="2">
        <v>0.4</v>
      </c>
      <c r="P934" t="s">
        <v>924</v>
      </c>
      <c r="Q934">
        <v>790685</v>
      </c>
      <c r="R934" t="s">
        <v>20</v>
      </c>
    </row>
    <row r="935" spans="1:18" x14ac:dyDescent="0.25">
      <c r="A935">
        <v>791575</v>
      </c>
      <c r="B935" t="s">
        <v>228</v>
      </c>
      <c r="C935" t="s">
        <v>298</v>
      </c>
      <c r="D935" t="s">
        <v>796</v>
      </c>
      <c r="E935" t="s">
        <v>38</v>
      </c>
      <c r="F935" t="s">
        <v>39</v>
      </c>
      <c r="G935">
        <v>29</v>
      </c>
      <c r="H935" t="s">
        <v>40</v>
      </c>
      <c r="I935" t="s">
        <v>230</v>
      </c>
      <c r="J935">
        <v>791575</v>
      </c>
      <c r="K935" t="s">
        <v>54</v>
      </c>
      <c r="L935" s="1">
        <v>42384.898611111108</v>
      </c>
      <c r="M935" s="1">
        <v>42384</v>
      </c>
      <c r="N935" s="3">
        <f>INT(BrightTV_JoinedTablesnw_2026_04_16_23_55_09[[#This Row],[Viewership.RecordDate22]])</f>
        <v>42384</v>
      </c>
      <c r="O935" s="2">
        <v>0.89861111111111114</v>
      </c>
      <c r="P935" t="s">
        <v>733</v>
      </c>
      <c r="Q935">
        <v>791575</v>
      </c>
      <c r="R935" t="s">
        <v>20</v>
      </c>
    </row>
    <row r="936" spans="1:18" x14ac:dyDescent="0.25">
      <c r="A936">
        <v>791575</v>
      </c>
      <c r="B936" t="s">
        <v>228</v>
      </c>
      <c r="C936" t="s">
        <v>298</v>
      </c>
      <c r="D936" t="s">
        <v>796</v>
      </c>
      <c r="E936" t="s">
        <v>38</v>
      </c>
      <c r="F936" t="s">
        <v>39</v>
      </c>
      <c r="G936">
        <v>29</v>
      </c>
      <c r="H936" t="s">
        <v>40</v>
      </c>
      <c r="I936" t="s">
        <v>230</v>
      </c>
      <c r="J936">
        <v>791575</v>
      </c>
      <c r="K936" t="s">
        <v>62</v>
      </c>
      <c r="L936" s="1">
        <v>42385.881249999999</v>
      </c>
      <c r="M936" s="1">
        <v>42385</v>
      </c>
      <c r="N936" s="3">
        <f>INT(BrightTV_JoinedTablesnw_2026_04_16_23_55_09[[#This Row],[Viewership.RecordDate22]])</f>
        <v>42385</v>
      </c>
      <c r="O936" s="2">
        <v>0.88124999999999998</v>
      </c>
      <c r="P936" t="s">
        <v>1030</v>
      </c>
      <c r="Q936">
        <v>791575</v>
      </c>
      <c r="R936" t="s">
        <v>20</v>
      </c>
    </row>
    <row r="937" spans="1:18" x14ac:dyDescent="0.25">
      <c r="A937">
        <v>809192</v>
      </c>
      <c r="B937" t="s">
        <v>188</v>
      </c>
      <c r="C937" t="s">
        <v>166</v>
      </c>
      <c r="D937" t="s">
        <v>418</v>
      </c>
      <c r="E937" t="s">
        <v>38</v>
      </c>
      <c r="F937" t="s">
        <v>39</v>
      </c>
      <c r="G937">
        <v>30</v>
      </c>
      <c r="H937" t="s">
        <v>75</v>
      </c>
      <c r="I937" t="s">
        <v>190</v>
      </c>
      <c r="J937">
        <v>809192</v>
      </c>
      <c r="K937" t="s">
        <v>129</v>
      </c>
      <c r="L937" s="1">
        <v>42414.803472222222</v>
      </c>
      <c r="M937" s="1">
        <v>42414</v>
      </c>
      <c r="N937" s="3">
        <f>INT(BrightTV_JoinedTablesnw_2026_04_16_23_55_09[[#This Row],[Viewership.RecordDate22]])</f>
        <v>42414</v>
      </c>
      <c r="O937" s="2">
        <v>0.80347222222222225</v>
      </c>
      <c r="P937" t="s">
        <v>1032</v>
      </c>
      <c r="Q937">
        <v>809192</v>
      </c>
      <c r="R937" t="s">
        <v>20</v>
      </c>
    </row>
    <row r="938" spans="1:18" x14ac:dyDescent="0.25">
      <c r="A938">
        <v>792875</v>
      </c>
      <c r="B938" t="s">
        <v>777</v>
      </c>
      <c r="C938" t="s">
        <v>344</v>
      </c>
      <c r="D938" t="s">
        <v>1048</v>
      </c>
      <c r="E938" t="s">
        <v>38</v>
      </c>
      <c r="F938" t="s">
        <v>106</v>
      </c>
      <c r="G938">
        <v>24</v>
      </c>
      <c r="H938" t="s">
        <v>52</v>
      </c>
      <c r="I938" t="s">
        <v>779</v>
      </c>
      <c r="J938">
        <v>792875</v>
      </c>
      <c r="K938" t="s">
        <v>47</v>
      </c>
      <c r="L938" s="1">
        <v>42453.715277777781</v>
      </c>
      <c r="M938" s="1">
        <v>42453</v>
      </c>
      <c r="N938" s="3">
        <f>INT(BrightTV_JoinedTablesnw_2026_04_16_23_55_09[[#This Row],[Viewership.RecordDate22]])</f>
        <v>42453</v>
      </c>
      <c r="O938" s="2">
        <v>0.71527777777777779</v>
      </c>
      <c r="P938" t="s">
        <v>1049</v>
      </c>
      <c r="Q938">
        <v>792875</v>
      </c>
      <c r="R938" t="s">
        <v>20</v>
      </c>
    </row>
    <row r="939" spans="1:18" x14ac:dyDescent="0.25">
      <c r="A939">
        <v>809197</v>
      </c>
      <c r="B939" t="s">
        <v>600</v>
      </c>
      <c r="C939" t="s">
        <v>305</v>
      </c>
      <c r="D939" t="s">
        <v>995</v>
      </c>
      <c r="E939" t="s">
        <v>38</v>
      </c>
      <c r="F939" t="s">
        <v>96</v>
      </c>
      <c r="G939">
        <v>29</v>
      </c>
      <c r="H939" t="s">
        <v>60</v>
      </c>
      <c r="I939" t="s">
        <v>602</v>
      </c>
      <c r="J939">
        <v>809197</v>
      </c>
      <c r="K939" t="s">
        <v>47</v>
      </c>
      <c r="L939" s="1">
        <v>42418.52847222222</v>
      </c>
      <c r="M939" s="1">
        <v>42418</v>
      </c>
      <c r="N939" s="3">
        <f>INT(BrightTV_JoinedTablesnw_2026_04_16_23_55_09[[#This Row],[Viewership.RecordDate22]])</f>
        <v>42418</v>
      </c>
      <c r="O939" s="2">
        <v>0.52847222222222223</v>
      </c>
      <c r="P939" t="s">
        <v>1050</v>
      </c>
      <c r="Q939">
        <v>809197</v>
      </c>
      <c r="R939" t="s">
        <v>20</v>
      </c>
    </row>
    <row r="940" spans="1:18" x14ac:dyDescent="0.25">
      <c r="A940">
        <v>809197</v>
      </c>
      <c r="B940" t="s">
        <v>600</v>
      </c>
      <c r="C940" t="s">
        <v>305</v>
      </c>
      <c r="D940" t="s">
        <v>995</v>
      </c>
      <c r="E940" t="s">
        <v>38</v>
      </c>
      <c r="F940" t="s">
        <v>96</v>
      </c>
      <c r="G940">
        <v>29</v>
      </c>
      <c r="H940" t="s">
        <v>60</v>
      </c>
      <c r="I940" t="s">
        <v>602</v>
      </c>
      <c r="J940">
        <v>809197</v>
      </c>
      <c r="K940" t="s">
        <v>47</v>
      </c>
      <c r="L940" s="1">
        <v>42415.932638888888</v>
      </c>
      <c r="M940" s="1">
        <v>42415</v>
      </c>
      <c r="N940" s="3">
        <f>INT(BrightTV_JoinedTablesnw_2026_04_16_23_55_09[[#This Row],[Viewership.RecordDate22]])</f>
        <v>42415</v>
      </c>
      <c r="O940" s="2">
        <v>0.93263888888888891</v>
      </c>
      <c r="P940" t="s">
        <v>64</v>
      </c>
      <c r="Q940">
        <v>809197</v>
      </c>
      <c r="R940" t="s">
        <v>20</v>
      </c>
    </row>
    <row r="941" spans="1:18" x14ac:dyDescent="0.25">
      <c r="A941">
        <v>809197</v>
      </c>
      <c r="B941" t="s">
        <v>600</v>
      </c>
      <c r="C941" t="s">
        <v>305</v>
      </c>
      <c r="D941" t="s">
        <v>995</v>
      </c>
      <c r="E941" t="s">
        <v>38</v>
      </c>
      <c r="F941" t="s">
        <v>96</v>
      </c>
      <c r="G941">
        <v>29</v>
      </c>
      <c r="H941" t="s">
        <v>60</v>
      </c>
      <c r="I941" t="s">
        <v>602</v>
      </c>
      <c r="J941">
        <v>809197</v>
      </c>
      <c r="K941" t="s">
        <v>18</v>
      </c>
      <c r="L941" s="1">
        <v>42424.593055555553</v>
      </c>
      <c r="M941" s="1">
        <v>42424</v>
      </c>
      <c r="N941" s="3">
        <f>INT(BrightTV_JoinedTablesnw_2026_04_16_23_55_09[[#This Row],[Viewership.RecordDate22]])</f>
        <v>42424</v>
      </c>
      <c r="O941" s="2">
        <v>0.59305555555555556</v>
      </c>
      <c r="P941" t="s">
        <v>1051</v>
      </c>
      <c r="Q941">
        <v>809197</v>
      </c>
      <c r="R941" t="s">
        <v>20</v>
      </c>
    </row>
    <row r="942" spans="1:18" x14ac:dyDescent="0.25">
      <c r="A942">
        <v>809197</v>
      </c>
      <c r="B942" t="s">
        <v>600</v>
      </c>
      <c r="C942" t="s">
        <v>305</v>
      </c>
      <c r="D942" t="s">
        <v>995</v>
      </c>
      <c r="E942" t="s">
        <v>38</v>
      </c>
      <c r="F942" t="s">
        <v>96</v>
      </c>
      <c r="G942">
        <v>29</v>
      </c>
      <c r="H942" t="s">
        <v>60</v>
      </c>
      <c r="I942" t="s">
        <v>602</v>
      </c>
      <c r="J942">
        <v>809197</v>
      </c>
      <c r="K942" t="s">
        <v>47</v>
      </c>
      <c r="L942" s="1">
        <v>42416.798611111109</v>
      </c>
      <c r="M942" s="1">
        <v>42416</v>
      </c>
      <c r="N942" s="3">
        <f>INT(BrightTV_JoinedTablesnw_2026_04_16_23_55_09[[#This Row],[Viewership.RecordDate22]])</f>
        <v>42416</v>
      </c>
      <c r="O942" s="2">
        <v>0.79861111111111116</v>
      </c>
      <c r="P942" t="s">
        <v>1052</v>
      </c>
      <c r="Q942">
        <v>809197</v>
      </c>
      <c r="R942" t="s">
        <v>20</v>
      </c>
    </row>
    <row r="943" spans="1:18" x14ac:dyDescent="0.25">
      <c r="A943">
        <v>809197</v>
      </c>
      <c r="B943" t="s">
        <v>600</v>
      </c>
      <c r="C943" t="s">
        <v>305</v>
      </c>
      <c r="D943" t="s">
        <v>995</v>
      </c>
      <c r="E943" t="s">
        <v>38</v>
      </c>
      <c r="F943" t="s">
        <v>96</v>
      </c>
      <c r="G943">
        <v>29</v>
      </c>
      <c r="H943" t="s">
        <v>60</v>
      </c>
      <c r="I943" t="s">
        <v>602</v>
      </c>
      <c r="J943">
        <v>809197</v>
      </c>
      <c r="K943" t="s">
        <v>77</v>
      </c>
      <c r="L943" s="1">
        <v>42406.602083333331</v>
      </c>
      <c r="M943" s="1">
        <v>42406</v>
      </c>
      <c r="N943" s="3">
        <f>INT(BrightTV_JoinedTablesnw_2026_04_16_23_55_09[[#This Row],[Viewership.RecordDate22]])</f>
        <v>42406</v>
      </c>
      <c r="O943" s="2">
        <v>0.6020833333333333</v>
      </c>
      <c r="P943" t="s">
        <v>381</v>
      </c>
      <c r="Q943">
        <v>809197</v>
      </c>
      <c r="R943" t="s">
        <v>20</v>
      </c>
    </row>
    <row r="944" spans="1:18" x14ac:dyDescent="0.25">
      <c r="A944">
        <v>809198</v>
      </c>
      <c r="B944" t="s">
        <v>43</v>
      </c>
      <c r="C944" t="s">
        <v>560</v>
      </c>
      <c r="D944" t="s">
        <v>393</v>
      </c>
      <c r="E944" t="s">
        <v>38</v>
      </c>
      <c r="F944" t="s">
        <v>39</v>
      </c>
      <c r="G944">
        <v>32</v>
      </c>
      <c r="H944" t="s">
        <v>75</v>
      </c>
      <c r="I944" t="s">
        <v>46</v>
      </c>
      <c r="J944">
        <v>809198</v>
      </c>
      <c r="K944" t="s">
        <v>47</v>
      </c>
      <c r="L944" s="1">
        <v>42405.592361111114</v>
      </c>
      <c r="M944" s="1">
        <v>42405</v>
      </c>
      <c r="N944" s="3">
        <f>INT(BrightTV_JoinedTablesnw_2026_04_16_23_55_09[[#This Row],[Viewership.RecordDate22]])</f>
        <v>42405</v>
      </c>
      <c r="O944" s="2">
        <v>0.59236111111111112</v>
      </c>
      <c r="P944" t="s">
        <v>1053</v>
      </c>
      <c r="Q944">
        <v>809198</v>
      </c>
      <c r="R944" t="s">
        <v>20</v>
      </c>
    </row>
    <row r="945" spans="1:18" x14ac:dyDescent="0.25">
      <c r="A945">
        <v>809198</v>
      </c>
      <c r="B945" t="s">
        <v>43</v>
      </c>
      <c r="C945" t="s">
        <v>560</v>
      </c>
      <c r="D945" t="s">
        <v>393</v>
      </c>
      <c r="E945" t="s">
        <v>38</v>
      </c>
      <c r="F945" t="s">
        <v>39</v>
      </c>
      <c r="G945">
        <v>32</v>
      </c>
      <c r="H945" t="s">
        <v>75</v>
      </c>
      <c r="I945" t="s">
        <v>46</v>
      </c>
      <c r="J945">
        <v>809198</v>
      </c>
      <c r="K945" t="s">
        <v>32</v>
      </c>
      <c r="L945" s="1">
        <v>42405.943055555559</v>
      </c>
      <c r="M945" s="1">
        <v>42405</v>
      </c>
      <c r="N945" s="3">
        <f>INT(BrightTV_JoinedTablesnw_2026_04_16_23_55_09[[#This Row],[Viewership.RecordDate22]])</f>
        <v>42405</v>
      </c>
      <c r="O945" s="2">
        <v>0.94305555555555554</v>
      </c>
      <c r="P945" t="s">
        <v>792</v>
      </c>
      <c r="Q945">
        <v>809198</v>
      </c>
      <c r="R945" t="s">
        <v>20</v>
      </c>
    </row>
    <row r="946" spans="1:18" x14ac:dyDescent="0.25">
      <c r="A946">
        <v>809198</v>
      </c>
      <c r="B946" t="s">
        <v>43</v>
      </c>
      <c r="C946" t="s">
        <v>560</v>
      </c>
      <c r="D946" t="s">
        <v>393</v>
      </c>
      <c r="E946" t="s">
        <v>38</v>
      </c>
      <c r="F946" t="s">
        <v>39</v>
      </c>
      <c r="G946">
        <v>32</v>
      </c>
      <c r="H946" t="s">
        <v>75</v>
      </c>
      <c r="I946" t="s">
        <v>46</v>
      </c>
      <c r="J946">
        <v>809198</v>
      </c>
      <c r="K946" t="s">
        <v>32</v>
      </c>
      <c r="L946" s="1">
        <v>42411.824305555558</v>
      </c>
      <c r="M946" s="1">
        <v>42411</v>
      </c>
      <c r="N946" s="3">
        <f>INT(BrightTV_JoinedTablesnw_2026_04_16_23_55_09[[#This Row],[Viewership.RecordDate22]])</f>
        <v>42411</v>
      </c>
      <c r="O946" s="2">
        <v>0.82430555555555551</v>
      </c>
      <c r="P946" t="s">
        <v>1054</v>
      </c>
      <c r="Q946">
        <v>809198</v>
      </c>
      <c r="R946" t="s">
        <v>20</v>
      </c>
    </row>
    <row r="947" spans="1:18" x14ac:dyDescent="0.25">
      <c r="A947">
        <v>809198</v>
      </c>
      <c r="B947" t="s">
        <v>43</v>
      </c>
      <c r="C947" t="s">
        <v>560</v>
      </c>
      <c r="D947" t="s">
        <v>393</v>
      </c>
      <c r="E947" t="s">
        <v>38</v>
      </c>
      <c r="F947" t="s">
        <v>39</v>
      </c>
      <c r="G947">
        <v>32</v>
      </c>
      <c r="H947" t="s">
        <v>75</v>
      </c>
      <c r="I947" t="s">
        <v>46</v>
      </c>
      <c r="J947">
        <v>809198</v>
      </c>
      <c r="K947" t="s">
        <v>32</v>
      </c>
      <c r="L947" s="1">
        <v>42410.861805555556</v>
      </c>
      <c r="M947" s="1">
        <v>42410</v>
      </c>
      <c r="N947" s="3">
        <f>INT(BrightTV_JoinedTablesnw_2026_04_16_23_55_09[[#This Row],[Viewership.RecordDate22]])</f>
        <v>42410</v>
      </c>
      <c r="O947" s="2">
        <v>0.8618055555555556</v>
      </c>
      <c r="P947" t="s">
        <v>275</v>
      </c>
      <c r="Q947">
        <v>809198</v>
      </c>
      <c r="R947" t="s">
        <v>20</v>
      </c>
    </row>
    <row r="948" spans="1:18" x14ac:dyDescent="0.25">
      <c r="A948">
        <v>809199</v>
      </c>
      <c r="B948" t="s">
        <v>426</v>
      </c>
      <c r="C948" t="s">
        <v>193</v>
      </c>
      <c r="D948" t="s">
        <v>1055</v>
      </c>
      <c r="E948" t="s">
        <v>38</v>
      </c>
      <c r="F948" t="s">
        <v>96</v>
      </c>
      <c r="G948">
        <v>35</v>
      </c>
      <c r="H948" t="s">
        <v>60</v>
      </c>
      <c r="I948" t="s">
        <v>428</v>
      </c>
      <c r="J948">
        <v>809199</v>
      </c>
      <c r="K948" t="s">
        <v>18</v>
      </c>
      <c r="L948" s="1">
        <v>42434.54791666667</v>
      </c>
      <c r="M948" s="1">
        <v>42434</v>
      </c>
      <c r="N948" s="3">
        <f>INT(BrightTV_JoinedTablesnw_2026_04_16_23_55_09[[#This Row],[Viewership.RecordDate22]])</f>
        <v>42434</v>
      </c>
      <c r="O948" s="2">
        <v>0.54791666666666672</v>
      </c>
      <c r="P948" t="s">
        <v>1056</v>
      </c>
      <c r="Q948">
        <v>809199</v>
      </c>
      <c r="R948" t="s">
        <v>20</v>
      </c>
    </row>
    <row r="949" spans="1:18" x14ac:dyDescent="0.25">
      <c r="A949">
        <v>809199</v>
      </c>
      <c r="B949" t="s">
        <v>426</v>
      </c>
      <c r="C949" t="s">
        <v>193</v>
      </c>
      <c r="D949" t="s">
        <v>1055</v>
      </c>
      <c r="E949" t="s">
        <v>38</v>
      </c>
      <c r="F949" t="s">
        <v>96</v>
      </c>
      <c r="G949">
        <v>35</v>
      </c>
      <c r="H949" t="s">
        <v>60</v>
      </c>
      <c r="I949" t="s">
        <v>428</v>
      </c>
      <c r="J949">
        <v>809199</v>
      </c>
      <c r="K949" t="s">
        <v>84</v>
      </c>
      <c r="L949" s="1">
        <v>42382.947916666664</v>
      </c>
      <c r="M949" s="1">
        <v>42382</v>
      </c>
      <c r="N949" s="3">
        <f>INT(BrightTV_JoinedTablesnw_2026_04_16_23_55_09[[#This Row],[Viewership.RecordDate22]])</f>
        <v>42382</v>
      </c>
      <c r="O949" s="2">
        <v>0.94791666666666663</v>
      </c>
      <c r="P949" t="s">
        <v>222</v>
      </c>
      <c r="Q949">
        <v>809199</v>
      </c>
      <c r="R949" t="s">
        <v>20</v>
      </c>
    </row>
    <row r="950" spans="1:18" x14ac:dyDescent="0.25">
      <c r="A950">
        <v>793835</v>
      </c>
      <c r="B950" t="s">
        <v>158</v>
      </c>
      <c r="C950" t="s">
        <v>357</v>
      </c>
      <c r="D950" t="s">
        <v>584</v>
      </c>
      <c r="E950" t="s">
        <v>38</v>
      </c>
      <c r="F950" t="s">
        <v>25</v>
      </c>
      <c r="G950">
        <v>30</v>
      </c>
      <c r="H950" t="s">
        <v>252</v>
      </c>
      <c r="I950" t="s">
        <v>160</v>
      </c>
      <c r="J950">
        <v>793835</v>
      </c>
      <c r="K950" t="s">
        <v>152</v>
      </c>
      <c r="L950" s="1">
        <v>42387.056944444441</v>
      </c>
      <c r="M950" s="1">
        <v>42387</v>
      </c>
      <c r="N950" s="3">
        <f>INT(BrightTV_JoinedTablesnw_2026_04_16_23_55_09[[#This Row],[Viewership.RecordDate22]])</f>
        <v>42387</v>
      </c>
      <c r="O950" s="2">
        <v>5.6944444444444443E-2</v>
      </c>
      <c r="P950" t="s">
        <v>287</v>
      </c>
      <c r="Q950">
        <v>793835</v>
      </c>
      <c r="R950" t="s">
        <v>20</v>
      </c>
    </row>
    <row r="951" spans="1:18" x14ac:dyDescent="0.25">
      <c r="A951">
        <v>808093</v>
      </c>
      <c r="B951" t="s">
        <v>16</v>
      </c>
      <c r="C951" t="s">
        <v>16</v>
      </c>
      <c r="D951" t="s">
        <v>1057</v>
      </c>
      <c r="E951" t="s">
        <v>16</v>
      </c>
      <c r="F951" t="s">
        <v>16</v>
      </c>
      <c r="G951">
        <v>0</v>
      </c>
      <c r="H951" t="s">
        <v>16</v>
      </c>
      <c r="I951" t="s">
        <v>16</v>
      </c>
      <c r="J951">
        <v>808093</v>
      </c>
      <c r="K951" t="s">
        <v>47</v>
      </c>
      <c r="L951" s="1">
        <v>42456.771527777775</v>
      </c>
      <c r="M951" s="1">
        <v>42456</v>
      </c>
      <c r="N951" s="3">
        <f>INT(BrightTV_JoinedTablesnw_2026_04_16_23_55_09[[#This Row],[Viewership.RecordDate22]])</f>
        <v>42456</v>
      </c>
      <c r="O951" s="2">
        <v>0.77152777777777781</v>
      </c>
      <c r="P951" t="s">
        <v>278</v>
      </c>
      <c r="Q951">
        <v>808093</v>
      </c>
      <c r="R951" t="s">
        <v>20</v>
      </c>
    </row>
    <row r="952" spans="1:18" x14ac:dyDescent="0.25">
      <c r="A952">
        <v>809204</v>
      </c>
      <c r="B952" t="s">
        <v>723</v>
      </c>
      <c r="C952" t="s">
        <v>361</v>
      </c>
      <c r="D952" t="s">
        <v>1058</v>
      </c>
      <c r="E952" t="s">
        <v>38</v>
      </c>
      <c r="F952" t="s">
        <v>39</v>
      </c>
      <c r="G952">
        <v>47</v>
      </c>
      <c r="H952" t="s">
        <v>280</v>
      </c>
      <c r="I952" t="s">
        <v>725</v>
      </c>
      <c r="J952">
        <v>809204</v>
      </c>
      <c r="K952" t="s">
        <v>47</v>
      </c>
      <c r="L952" s="1">
        <v>42405.625</v>
      </c>
      <c r="M952" s="1">
        <v>42405</v>
      </c>
      <c r="N952" s="3">
        <f>INT(BrightTV_JoinedTablesnw_2026_04_16_23_55_09[[#This Row],[Viewership.RecordDate22]])</f>
        <v>42405</v>
      </c>
      <c r="O952" s="2">
        <v>0.625</v>
      </c>
      <c r="P952" t="s">
        <v>64</v>
      </c>
      <c r="Q952">
        <v>809204</v>
      </c>
      <c r="R952" t="s">
        <v>20</v>
      </c>
    </row>
    <row r="953" spans="1:18" x14ac:dyDescent="0.25">
      <c r="A953">
        <v>809204</v>
      </c>
      <c r="B953" t="s">
        <v>723</v>
      </c>
      <c r="C953" t="s">
        <v>361</v>
      </c>
      <c r="D953" t="s">
        <v>1058</v>
      </c>
      <c r="E953" t="s">
        <v>38</v>
      </c>
      <c r="F953" t="s">
        <v>39</v>
      </c>
      <c r="G953">
        <v>47</v>
      </c>
      <c r="H953" t="s">
        <v>280</v>
      </c>
      <c r="I953" t="s">
        <v>725</v>
      </c>
      <c r="J953">
        <v>809204</v>
      </c>
      <c r="K953" t="s">
        <v>18</v>
      </c>
      <c r="L953" s="1">
        <v>42432.444444444445</v>
      </c>
      <c r="M953" s="1">
        <v>42432</v>
      </c>
      <c r="N953" s="3">
        <f>INT(BrightTV_JoinedTablesnw_2026_04_16_23_55_09[[#This Row],[Viewership.RecordDate22]])</f>
        <v>42432</v>
      </c>
      <c r="O953" s="2">
        <v>0.44444444444444442</v>
      </c>
      <c r="P953" t="s">
        <v>64</v>
      </c>
      <c r="Q953">
        <v>809204</v>
      </c>
      <c r="R953" t="s">
        <v>20</v>
      </c>
    </row>
    <row r="954" spans="1:18" x14ac:dyDescent="0.25">
      <c r="A954">
        <v>809204</v>
      </c>
      <c r="B954" t="s">
        <v>723</v>
      </c>
      <c r="C954" t="s">
        <v>361</v>
      </c>
      <c r="D954" t="s">
        <v>1058</v>
      </c>
      <c r="E954" t="s">
        <v>38</v>
      </c>
      <c r="F954" t="s">
        <v>39</v>
      </c>
      <c r="G954">
        <v>47</v>
      </c>
      <c r="H954" t="s">
        <v>280</v>
      </c>
      <c r="I954" t="s">
        <v>725</v>
      </c>
      <c r="J954">
        <v>809204</v>
      </c>
      <c r="K954" t="s">
        <v>54</v>
      </c>
      <c r="L954" s="1">
        <v>42432.834722222222</v>
      </c>
      <c r="M954" s="1">
        <v>42432</v>
      </c>
      <c r="N954" s="3">
        <f>INT(BrightTV_JoinedTablesnw_2026_04_16_23_55_09[[#This Row],[Viewership.RecordDate22]])</f>
        <v>42432</v>
      </c>
      <c r="O954" s="2">
        <v>0.83472222222222225</v>
      </c>
      <c r="P954" t="s">
        <v>1059</v>
      </c>
      <c r="Q954">
        <v>809204</v>
      </c>
      <c r="R954" t="s">
        <v>20</v>
      </c>
    </row>
    <row r="955" spans="1:18" x14ac:dyDescent="0.25">
      <c r="A955">
        <v>809204</v>
      </c>
      <c r="B955" t="s">
        <v>723</v>
      </c>
      <c r="C955" t="s">
        <v>361</v>
      </c>
      <c r="D955" t="s">
        <v>1058</v>
      </c>
      <c r="E955" t="s">
        <v>38</v>
      </c>
      <c r="F955" t="s">
        <v>39</v>
      </c>
      <c r="G955">
        <v>47</v>
      </c>
      <c r="H955" t="s">
        <v>280</v>
      </c>
      <c r="I955" t="s">
        <v>725</v>
      </c>
      <c r="J955">
        <v>809204</v>
      </c>
      <c r="K955" t="s">
        <v>54</v>
      </c>
      <c r="L955" s="1">
        <v>42381.288194444445</v>
      </c>
      <c r="M955" s="1">
        <v>42381</v>
      </c>
      <c r="N955" s="3">
        <f>INT(BrightTV_JoinedTablesnw_2026_04_16_23_55_09[[#This Row],[Viewership.RecordDate22]])</f>
        <v>42381</v>
      </c>
      <c r="O955" s="2">
        <v>0.28819444444444442</v>
      </c>
      <c r="P955" t="s">
        <v>64</v>
      </c>
      <c r="Q955">
        <v>809204</v>
      </c>
      <c r="R955" t="s">
        <v>20</v>
      </c>
    </row>
    <row r="956" spans="1:18" x14ac:dyDescent="0.25">
      <c r="A956">
        <v>809204</v>
      </c>
      <c r="B956" t="s">
        <v>723</v>
      </c>
      <c r="C956" t="s">
        <v>361</v>
      </c>
      <c r="D956" t="s">
        <v>1058</v>
      </c>
      <c r="E956" t="s">
        <v>38</v>
      </c>
      <c r="F956" t="s">
        <v>39</v>
      </c>
      <c r="G956">
        <v>47</v>
      </c>
      <c r="H956" t="s">
        <v>280</v>
      </c>
      <c r="I956" t="s">
        <v>725</v>
      </c>
      <c r="J956">
        <v>809204</v>
      </c>
      <c r="K956" t="s">
        <v>18</v>
      </c>
      <c r="L956" s="1">
        <v>42434.797222222223</v>
      </c>
      <c r="M956" s="1">
        <v>42434</v>
      </c>
      <c r="N956" s="3">
        <f>INT(BrightTV_JoinedTablesnw_2026_04_16_23_55_09[[#This Row],[Viewership.RecordDate22]])</f>
        <v>42434</v>
      </c>
      <c r="O956" s="2">
        <v>0.79722222222222228</v>
      </c>
      <c r="P956" t="s">
        <v>64</v>
      </c>
      <c r="Q956">
        <v>809204</v>
      </c>
      <c r="R956" t="s">
        <v>20</v>
      </c>
    </row>
    <row r="957" spans="1:18" x14ac:dyDescent="0.25">
      <c r="A957">
        <v>809204</v>
      </c>
      <c r="B957" t="s">
        <v>723</v>
      </c>
      <c r="C957" t="s">
        <v>361</v>
      </c>
      <c r="D957" t="s">
        <v>1058</v>
      </c>
      <c r="E957" t="s">
        <v>38</v>
      </c>
      <c r="F957" t="s">
        <v>39</v>
      </c>
      <c r="G957">
        <v>47</v>
      </c>
      <c r="H957" t="s">
        <v>280</v>
      </c>
      <c r="I957" t="s">
        <v>725</v>
      </c>
      <c r="J957">
        <v>809204</v>
      </c>
      <c r="K957" t="s">
        <v>18</v>
      </c>
      <c r="L957" s="1">
        <v>42458.791666666664</v>
      </c>
      <c r="M957" s="1">
        <v>42458</v>
      </c>
      <c r="N957" s="3">
        <f>INT(BrightTV_JoinedTablesnw_2026_04_16_23_55_09[[#This Row],[Viewership.RecordDate22]])</f>
        <v>42458</v>
      </c>
      <c r="O957" s="2">
        <v>0.79166666666666663</v>
      </c>
      <c r="P957" t="s">
        <v>1060</v>
      </c>
      <c r="Q957">
        <v>809204</v>
      </c>
      <c r="R957" t="s">
        <v>20</v>
      </c>
    </row>
    <row r="958" spans="1:18" x14ac:dyDescent="0.25">
      <c r="A958">
        <v>809204</v>
      </c>
      <c r="B958" t="s">
        <v>723</v>
      </c>
      <c r="C958" t="s">
        <v>361</v>
      </c>
      <c r="D958" t="s">
        <v>1058</v>
      </c>
      <c r="E958" t="s">
        <v>38</v>
      </c>
      <c r="F958" t="s">
        <v>39</v>
      </c>
      <c r="G958">
        <v>47</v>
      </c>
      <c r="H958" t="s">
        <v>280</v>
      </c>
      <c r="I958" t="s">
        <v>725</v>
      </c>
      <c r="J958">
        <v>809204</v>
      </c>
      <c r="K958" t="s">
        <v>77</v>
      </c>
      <c r="L958" s="1">
        <v>42456.630555555559</v>
      </c>
      <c r="M958" s="1">
        <v>42456</v>
      </c>
      <c r="N958" s="3">
        <f>INT(BrightTV_JoinedTablesnw_2026_04_16_23_55_09[[#This Row],[Viewership.RecordDate22]])</f>
        <v>42456</v>
      </c>
      <c r="O958" s="2">
        <v>0.63055555555555554</v>
      </c>
      <c r="P958" t="s">
        <v>64</v>
      </c>
      <c r="Q958">
        <v>809204</v>
      </c>
      <c r="R958" t="s">
        <v>20</v>
      </c>
    </row>
    <row r="959" spans="1:18" x14ac:dyDescent="0.25">
      <c r="A959">
        <v>809207</v>
      </c>
      <c r="B959" t="s">
        <v>43</v>
      </c>
      <c r="C959" t="s">
        <v>111</v>
      </c>
      <c r="D959" t="s">
        <v>45</v>
      </c>
      <c r="E959" t="s">
        <v>38</v>
      </c>
      <c r="F959" t="s">
        <v>96</v>
      </c>
      <c r="G959">
        <v>33</v>
      </c>
      <c r="H959" t="s">
        <v>138</v>
      </c>
      <c r="I959" t="s">
        <v>46</v>
      </c>
      <c r="J959">
        <v>809207</v>
      </c>
      <c r="K959" t="s">
        <v>18</v>
      </c>
      <c r="L959" s="1">
        <v>42431.54791666667</v>
      </c>
      <c r="M959" s="1">
        <v>42431</v>
      </c>
      <c r="N959" s="3">
        <f>INT(BrightTV_JoinedTablesnw_2026_04_16_23_55_09[[#This Row],[Viewership.RecordDate22]])</f>
        <v>42431</v>
      </c>
      <c r="O959" s="2">
        <v>0.54791666666666672</v>
      </c>
      <c r="P959" t="s">
        <v>1061</v>
      </c>
      <c r="Q959">
        <v>809207</v>
      </c>
      <c r="R959" t="s">
        <v>20</v>
      </c>
    </row>
    <row r="960" spans="1:18" x14ac:dyDescent="0.25">
      <c r="A960">
        <v>803748</v>
      </c>
      <c r="B960" t="s">
        <v>115</v>
      </c>
      <c r="C960" t="s">
        <v>182</v>
      </c>
      <c r="D960" t="s">
        <v>383</v>
      </c>
      <c r="E960" t="s">
        <v>38</v>
      </c>
      <c r="F960" t="s">
        <v>106</v>
      </c>
      <c r="G960">
        <v>35</v>
      </c>
      <c r="H960" t="s">
        <v>26</v>
      </c>
      <c r="I960" t="s">
        <v>118</v>
      </c>
      <c r="J960">
        <v>803748</v>
      </c>
      <c r="K960" t="s">
        <v>18</v>
      </c>
      <c r="L960" s="1">
        <v>42419.772916666669</v>
      </c>
      <c r="M960" s="1">
        <v>42419</v>
      </c>
      <c r="N960" s="3">
        <f>INT(BrightTV_JoinedTablesnw_2026_04_16_23_55_09[[#This Row],[Viewership.RecordDate22]])</f>
        <v>42419</v>
      </c>
      <c r="O960" s="2">
        <v>0.7729166666666667</v>
      </c>
      <c r="P960" t="s">
        <v>1062</v>
      </c>
      <c r="Q960">
        <v>803748</v>
      </c>
      <c r="R960" t="s">
        <v>20</v>
      </c>
    </row>
    <row r="961" spans="1:18" x14ac:dyDescent="0.25">
      <c r="A961">
        <v>809209</v>
      </c>
      <c r="B961" t="s">
        <v>35</v>
      </c>
      <c r="C961" t="s">
        <v>182</v>
      </c>
      <c r="D961" t="s">
        <v>277</v>
      </c>
      <c r="E961" t="s">
        <v>38</v>
      </c>
      <c r="F961" t="s">
        <v>16</v>
      </c>
      <c r="G961">
        <v>24</v>
      </c>
      <c r="H961" t="s">
        <v>60</v>
      </c>
      <c r="I961" t="s">
        <v>41</v>
      </c>
      <c r="J961">
        <v>809209</v>
      </c>
      <c r="K961" t="s">
        <v>30</v>
      </c>
      <c r="L961" s="1">
        <v>42378.554861111108</v>
      </c>
      <c r="M961" s="1">
        <v>42378</v>
      </c>
      <c r="N961" s="3">
        <f>INT(BrightTV_JoinedTablesnw_2026_04_16_23_55_09[[#This Row],[Viewership.RecordDate22]])</f>
        <v>42378</v>
      </c>
      <c r="O961" s="2">
        <v>0.55486111111111114</v>
      </c>
      <c r="P961" t="s">
        <v>1063</v>
      </c>
      <c r="Q961">
        <v>809209</v>
      </c>
      <c r="R961" t="s">
        <v>20</v>
      </c>
    </row>
    <row r="962" spans="1:18" x14ac:dyDescent="0.25">
      <c r="A962">
        <v>809209</v>
      </c>
      <c r="B962" t="s">
        <v>35</v>
      </c>
      <c r="C962" t="s">
        <v>182</v>
      </c>
      <c r="D962" t="s">
        <v>277</v>
      </c>
      <c r="E962" t="s">
        <v>38</v>
      </c>
      <c r="F962" t="s">
        <v>16</v>
      </c>
      <c r="G962">
        <v>24</v>
      </c>
      <c r="H962" t="s">
        <v>60</v>
      </c>
      <c r="I962" t="s">
        <v>41</v>
      </c>
      <c r="J962">
        <v>809209</v>
      </c>
      <c r="K962" t="s">
        <v>77</v>
      </c>
      <c r="L962" s="1">
        <v>42379.634027777778</v>
      </c>
      <c r="M962" s="1">
        <v>42379</v>
      </c>
      <c r="N962" s="3">
        <f>INT(BrightTV_JoinedTablesnw_2026_04_16_23_55_09[[#This Row],[Viewership.RecordDate22]])</f>
        <v>42379</v>
      </c>
      <c r="O962" s="2">
        <v>0.63402777777777775</v>
      </c>
      <c r="P962" t="s">
        <v>599</v>
      </c>
      <c r="Q962">
        <v>809209</v>
      </c>
      <c r="R962" t="s">
        <v>20</v>
      </c>
    </row>
    <row r="963" spans="1:18" x14ac:dyDescent="0.25">
      <c r="A963">
        <v>809209</v>
      </c>
      <c r="B963" t="s">
        <v>35</v>
      </c>
      <c r="C963" t="s">
        <v>182</v>
      </c>
      <c r="D963" t="s">
        <v>277</v>
      </c>
      <c r="E963" t="s">
        <v>38</v>
      </c>
      <c r="F963" t="s">
        <v>16</v>
      </c>
      <c r="G963">
        <v>24</v>
      </c>
      <c r="H963" t="s">
        <v>60</v>
      </c>
      <c r="I963" t="s">
        <v>41</v>
      </c>
      <c r="J963">
        <v>809209</v>
      </c>
      <c r="K963" t="s">
        <v>30</v>
      </c>
      <c r="L963" s="1">
        <v>42418.219444444447</v>
      </c>
      <c r="M963" s="1">
        <v>42418</v>
      </c>
      <c r="N963" s="3">
        <f>INT(BrightTV_JoinedTablesnw_2026_04_16_23_55_09[[#This Row],[Viewership.RecordDate22]])</f>
        <v>42418</v>
      </c>
      <c r="O963" s="2">
        <v>0.21944444444444444</v>
      </c>
      <c r="P963" t="s">
        <v>1064</v>
      </c>
      <c r="Q963">
        <v>809209</v>
      </c>
      <c r="R963" t="s">
        <v>20</v>
      </c>
    </row>
    <row r="964" spans="1:18" x14ac:dyDescent="0.25">
      <c r="A964">
        <v>809209</v>
      </c>
      <c r="B964" t="s">
        <v>35</v>
      </c>
      <c r="C964" t="s">
        <v>182</v>
      </c>
      <c r="D964" t="s">
        <v>277</v>
      </c>
      <c r="E964" t="s">
        <v>38</v>
      </c>
      <c r="F964" t="s">
        <v>16</v>
      </c>
      <c r="G964">
        <v>24</v>
      </c>
      <c r="H964" t="s">
        <v>60</v>
      </c>
      <c r="I964" t="s">
        <v>41</v>
      </c>
      <c r="J964">
        <v>809209</v>
      </c>
      <c r="K964" t="s">
        <v>30</v>
      </c>
      <c r="L964" s="1">
        <v>42423.396527777775</v>
      </c>
      <c r="M964" s="1">
        <v>42423</v>
      </c>
      <c r="N964" s="3">
        <f>INT(BrightTV_JoinedTablesnw_2026_04_16_23_55_09[[#This Row],[Viewership.RecordDate22]])</f>
        <v>42423</v>
      </c>
      <c r="O964" s="2">
        <v>0.39652777777777776</v>
      </c>
      <c r="P964" t="s">
        <v>1065</v>
      </c>
      <c r="Q964">
        <v>809209</v>
      </c>
      <c r="R964" t="s">
        <v>20</v>
      </c>
    </row>
    <row r="965" spans="1:18" x14ac:dyDescent="0.25">
      <c r="A965">
        <v>802532</v>
      </c>
      <c r="B965" t="s">
        <v>16</v>
      </c>
      <c r="C965" t="s">
        <v>16</v>
      </c>
      <c r="D965" t="s">
        <v>1066</v>
      </c>
      <c r="E965" t="s">
        <v>16</v>
      </c>
      <c r="F965" t="s">
        <v>16</v>
      </c>
      <c r="G965">
        <v>0</v>
      </c>
      <c r="H965" t="s">
        <v>16</v>
      </c>
      <c r="I965" t="s">
        <v>16</v>
      </c>
      <c r="J965">
        <v>802532</v>
      </c>
      <c r="K965" t="s">
        <v>84</v>
      </c>
      <c r="L965" s="1">
        <v>42443.508333333331</v>
      </c>
      <c r="M965" s="1">
        <v>42443</v>
      </c>
      <c r="N965" s="3">
        <f>INT(BrightTV_JoinedTablesnw_2026_04_16_23_55_09[[#This Row],[Viewership.RecordDate22]])</f>
        <v>42443</v>
      </c>
      <c r="O965" s="2">
        <v>0.5083333333333333</v>
      </c>
      <c r="P965" t="s">
        <v>140</v>
      </c>
      <c r="Q965">
        <v>802532</v>
      </c>
      <c r="R965" t="s">
        <v>20</v>
      </c>
    </row>
    <row r="966" spans="1:18" x14ac:dyDescent="0.25">
      <c r="A966">
        <v>803754</v>
      </c>
      <c r="B966" t="s">
        <v>573</v>
      </c>
      <c r="C966" t="s">
        <v>148</v>
      </c>
      <c r="D966" t="s">
        <v>1067</v>
      </c>
      <c r="E966" t="s">
        <v>24</v>
      </c>
      <c r="F966" t="s">
        <v>39</v>
      </c>
      <c r="G966">
        <v>26</v>
      </c>
      <c r="H966" t="s">
        <v>280</v>
      </c>
      <c r="I966" t="s">
        <v>1068</v>
      </c>
      <c r="J966">
        <v>803754</v>
      </c>
      <c r="K966" t="s">
        <v>84</v>
      </c>
      <c r="L966" s="1">
        <v>42419.722916666666</v>
      </c>
      <c r="M966" s="1">
        <v>42419</v>
      </c>
      <c r="N966" s="3">
        <f>INT(BrightTV_JoinedTablesnw_2026_04_16_23_55_09[[#This Row],[Viewership.RecordDate22]])</f>
        <v>42419</v>
      </c>
      <c r="O966" s="2">
        <v>0.72291666666666665</v>
      </c>
      <c r="P966" t="s">
        <v>335</v>
      </c>
      <c r="Q966">
        <v>803754</v>
      </c>
      <c r="R966" t="s">
        <v>20</v>
      </c>
    </row>
    <row r="967" spans="1:18" x14ac:dyDescent="0.25">
      <c r="A967">
        <v>803754</v>
      </c>
      <c r="B967" t="s">
        <v>573</v>
      </c>
      <c r="C967" t="s">
        <v>148</v>
      </c>
      <c r="D967" t="s">
        <v>1067</v>
      </c>
      <c r="E967" t="s">
        <v>24</v>
      </c>
      <c r="F967" t="s">
        <v>39</v>
      </c>
      <c r="G967">
        <v>26</v>
      </c>
      <c r="H967" t="s">
        <v>280</v>
      </c>
      <c r="I967" t="s">
        <v>1068</v>
      </c>
      <c r="J967">
        <v>803754</v>
      </c>
      <c r="K967" t="s">
        <v>32</v>
      </c>
      <c r="L967" s="1">
        <v>42421.594444444447</v>
      </c>
      <c r="M967" s="1">
        <v>42421</v>
      </c>
      <c r="N967" s="3">
        <f>INT(BrightTV_JoinedTablesnw_2026_04_16_23_55_09[[#This Row],[Viewership.RecordDate22]])</f>
        <v>42421</v>
      </c>
      <c r="O967" s="2">
        <v>0.59444444444444444</v>
      </c>
      <c r="P967" t="s">
        <v>163</v>
      </c>
      <c r="Q967">
        <v>803754</v>
      </c>
      <c r="R967" t="s">
        <v>20</v>
      </c>
    </row>
    <row r="968" spans="1:18" x14ac:dyDescent="0.25">
      <c r="A968">
        <v>809216</v>
      </c>
      <c r="B968" t="s">
        <v>232</v>
      </c>
      <c r="C968" t="s">
        <v>276</v>
      </c>
      <c r="D968" t="s">
        <v>635</v>
      </c>
      <c r="E968" t="s">
        <v>38</v>
      </c>
      <c r="F968" t="s">
        <v>39</v>
      </c>
      <c r="G968">
        <v>47</v>
      </c>
      <c r="H968" t="s">
        <v>40</v>
      </c>
      <c r="I968" t="s">
        <v>235</v>
      </c>
      <c r="J968">
        <v>809216</v>
      </c>
      <c r="K968" t="s">
        <v>169</v>
      </c>
      <c r="L968" s="1">
        <v>42440.461111111108</v>
      </c>
      <c r="M968" s="1">
        <v>42440</v>
      </c>
      <c r="N968" s="3">
        <f>INT(BrightTV_JoinedTablesnw_2026_04_16_23_55_09[[#This Row],[Viewership.RecordDate22]])</f>
        <v>42440</v>
      </c>
      <c r="O968" s="2">
        <v>0.46111111111111114</v>
      </c>
      <c r="P968" t="s">
        <v>1069</v>
      </c>
      <c r="Q968">
        <v>809216</v>
      </c>
      <c r="R968" t="s">
        <v>20</v>
      </c>
    </row>
    <row r="969" spans="1:18" x14ac:dyDescent="0.25">
      <c r="A969">
        <v>809216</v>
      </c>
      <c r="B969" t="s">
        <v>232</v>
      </c>
      <c r="C969" t="s">
        <v>276</v>
      </c>
      <c r="D969" t="s">
        <v>635</v>
      </c>
      <c r="E969" t="s">
        <v>38</v>
      </c>
      <c r="F969" t="s">
        <v>39</v>
      </c>
      <c r="G969">
        <v>47</v>
      </c>
      <c r="H969" t="s">
        <v>40</v>
      </c>
      <c r="I969" t="s">
        <v>235</v>
      </c>
      <c r="J969">
        <v>809216</v>
      </c>
      <c r="K969" t="s">
        <v>28</v>
      </c>
      <c r="L969" s="1">
        <v>42440.53402777778</v>
      </c>
      <c r="M969" s="1">
        <v>42440</v>
      </c>
      <c r="N969" s="3">
        <f>INT(BrightTV_JoinedTablesnw_2026_04_16_23_55_09[[#This Row],[Viewership.RecordDate22]])</f>
        <v>42440</v>
      </c>
      <c r="O969" s="2">
        <v>0.53402777777777777</v>
      </c>
      <c r="P969" t="s">
        <v>461</v>
      </c>
      <c r="Q969">
        <v>809216</v>
      </c>
      <c r="R969" t="s">
        <v>20</v>
      </c>
    </row>
    <row r="970" spans="1:18" x14ac:dyDescent="0.25">
      <c r="A970">
        <v>809216</v>
      </c>
      <c r="B970" t="s">
        <v>232</v>
      </c>
      <c r="C970" t="s">
        <v>276</v>
      </c>
      <c r="D970" t="s">
        <v>635</v>
      </c>
      <c r="E970" t="s">
        <v>38</v>
      </c>
      <c r="F970" t="s">
        <v>39</v>
      </c>
      <c r="G970">
        <v>47</v>
      </c>
      <c r="H970" t="s">
        <v>40</v>
      </c>
      <c r="I970" t="s">
        <v>235</v>
      </c>
      <c r="J970">
        <v>809216</v>
      </c>
      <c r="K970" t="s">
        <v>84</v>
      </c>
      <c r="L970" s="1">
        <v>42404.6</v>
      </c>
      <c r="M970" s="1">
        <v>42404</v>
      </c>
      <c r="N970" s="3">
        <f>INT(BrightTV_JoinedTablesnw_2026_04_16_23_55_09[[#This Row],[Viewership.RecordDate22]])</f>
        <v>42404</v>
      </c>
      <c r="O970" s="2">
        <v>0.6</v>
      </c>
      <c r="P970" t="s">
        <v>596</v>
      </c>
      <c r="Q970">
        <v>809216</v>
      </c>
      <c r="R970" t="s">
        <v>20</v>
      </c>
    </row>
    <row r="971" spans="1:18" x14ac:dyDescent="0.25">
      <c r="A971">
        <v>803807</v>
      </c>
      <c r="B971" t="s">
        <v>441</v>
      </c>
      <c r="C971" t="s">
        <v>73</v>
      </c>
      <c r="D971" t="s">
        <v>1070</v>
      </c>
      <c r="E971" t="s">
        <v>38</v>
      </c>
      <c r="F971" t="s">
        <v>25</v>
      </c>
      <c r="G971">
        <v>29</v>
      </c>
      <c r="H971" t="s">
        <v>40</v>
      </c>
      <c r="I971" t="s">
        <v>443</v>
      </c>
      <c r="J971">
        <v>803807</v>
      </c>
      <c r="K971" t="s">
        <v>47</v>
      </c>
      <c r="L971" s="1">
        <v>42416.847916666666</v>
      </c>
      <c r="M971" s="1">
        <v>42416</v>
      </c>
      <c r="N971" s="3">
        <f>INT(BrightTV_JoinedTablesnw_2026_04_16_23_55_09[[#This Row],[Viewership.RecordDate22]])</f>
        <v>42416</v>
      </c>
      <c r="O971" s="2">
        <v>0.84791666666666665</v>
      </c>
      <c r="P971" t="s">
        <v>209</v>
      </c>
      <c r="Q971">
        <v>803807</v>
      </c>
      <c r="R971" t="s">
        <v>20</v>
      </c>
    </row>
    <row r="972" spans="1:18" x14ac:dyDescent="0.25">
      <c r="A972">
        <v>803815</v>
      </c>
      <c r="B972" t="s">
        <v>366</v>
      </c>
      <c r="C972" t="s">
        <v>659</v>
      </c>
      <c r="D972" t="s">
        <v>741</v>
      </c>
      <c r="E972" t="s">
        <v>38</v>
      </c>
      <c r="F972" t="s">
        <v>25</v>
      </c>
      <c r="G972">
        <v>32</v>
      </c>
      <c r="H972" t="s">
        <v>40</v>
      </c>
      <c r="I972" t="s">
        <v>368</v>
      </c>
      <c r="J972">
        <v>803815</v>
      </c>
      <c r="K972" t="s">
        <v>47</v>
      </c>
      <c r="L972" s="1">
        <v>42419.729861111111</v>
      </c>
      <c r="M972" s="1">
        <v>42419</v>
      </c>
      <c r="N972" s="3">
        <f>INT(BrightTV_JoinedTablesnw_2026_04_16_23_55_09[[#This Row],[Viewership.RecordDate22]])</f>
        <v>42419</v>
      </c>
      <c r="O972" s="2">
        <v>0.72986111111111107</v>
      </c>
      <c r="P972" t="s">
        <v>332</v>
      </c>
      <c r="Q972">
        <v>803815</v>
      </c>
      <c r="R972" t="s">
        <v>20</v>
      </c>
    </row>
    <row r="973" spans="1:18" x14ac:dyDescent="0.25">
      <c r="A973">
        <v>803815</v>
      </c>
      <c r="B973" t="s">
        <v>366</v>
      </c>
      <c r="C973" t="s">
        <v>659</v>
      </c>
      <c r="D973" t="s">
        <v>741</v>
      </c>
      <c r="E973" t="s">
        <v>38</v>
      </c>
      <c r="F973" t="s">
        <v>25</v>
      </c>
      <c r="G973">
        <v>32</v>
      </c>
      <c r="H973" t="s">
        <v>40</v>
      </c>
      <c r="I973" t="s">
        <v>368</v>
      </c>
      <c r="J973">
        <v>803815</v>
      </c>
      <c r="K973" t="s">
        <v>54</v>
      </c>
      <c r="L973" s="1">
        <v>42419.717361111114</v>
      </c>
      <c r="M973" s="1">
        <v>42419</v>
      </c>
      <c r="N973" s="3">
        <f>INT(BrightTV_JoinedTablesnw_2026_04_16_23_55_09[[#This Row],[Viewership.RecordDate22]])</f>
        <v>42419</v>
      </c>
      <c r="O973" s="2">
        <v>0.71736111111111112</v>
      </c>
      <c r="P973" t="s">
        <v>64</v>
      </c>
      <c r="Q973">
        <v>803815</v>
      </c>
      <c r="R973" t="s">
        <v>20</v>
      </c>
    </row>
    <row r="974" spans="1:18" x14ac:dyDescent="0.25">
      <c r="A974">
        <v>803815</v>
      </c>
      <c r="B974" t="s">
        <v>366</v>
      </c>
      <c r="C974" t="s">
        <v>659</v>
      </c>
      <c r="D974" t="s">
        <v>741</v>
      </c>
      <c r="E974" t="s">
        <v>38</v>
      </c>
      <c r="F974" t="s">
        <v>25</v>
      </c>
      <c r="G974">
        <v>32</v>
      </c>
      <c r="H974" t="s">
        <v>40</v>
      </c>
      <c r="I974" t="s">
        <v>368</v>
      </c>
      <c r="J974">
        <v>803815</v>
      </c>
      <c r="K974" t="s">
        <v>54</v>
      </c>
      <c r="L974" s="1">
        <v>42419.806944444441</v>
      </c>
      <c r="M974" s="1">
        <v>42419</v>
      </c>
      <c r="N974" s="3">
        <f>INT(BrightTV_JoinedTablesnw_2026_04_16_23_55_09[[#This Row],[Viewership.RecordDate22]])</f>
        <v>42419</v>
      </c>
      <c r="O974" s="2">
        <v>0.80694444444444446</v>
      </c>
      <c r="P974" t="s">
        <v>64</v>
      </c>
      <c r="Q974">
        <v>803815</v>
      </c>
      <c r="R974" t="s">
        <v>20</v>
      </c>
    </row>
    <row r="975" spans="1:18" x14ac:dyDescent="0.25">
      <c r="A975">
        <v>803827</v>
      </c>
      <c r="B975" t="s">
        <v>267</v>
      </c>
      <c r="C975" t="s">
        <v>193</v>
      </c>
      <c r="D975" t="s">
        <v>354</v>
      </c>
      <c r="E975" t="s">
        <v>38</v>
      </c>
      <c r="F975" t="s">
        <v>106</v>
      </c>
      <c r="G975">
        <v>41</v>
      </c>
      <c r="H975" t="s">
        <v>138</v>
      </c>
      <c r="I975" t="s">
        <v>269</v>
      </c>
      <c r="J975">
        <v>803827</v>
      </c>
      <c r="K975" t="s">
        <v>18</v>
      </c>
      <c r="L975" s="1">
        <v>42419.449305555558</v>
      </c>
      <c r="M975" s="1">
        <v>42419</v>
      </c>
      <c r="N975" s="3">
        <f>INT(BrightTV_JoinedTablesnw_2026_04_16_23_55_09[[#This Row],[Viewership.RecordDate22]])</f>
        <v>42419</v>
      </c>
      <c r="O975" s="2">
        <v>0.44930555555555557</v>
      </c>
      <c r="P975" t="s">
        <v>145</v>
      </c>
      <c r="Q975">
        <v>803827</v>
      </c>
      <c r="R975" t="s">
        <v>20</v>
      </c>
    </row>
    <row r="976" spans="1:18" x14ac:dyDescent="0.25">
      <c r="A976">
        <v>803847</v>
      </c>
      <c r="B976" t="s">
        <v>158</v>
      </c>
      <c r="C976" t="s">
        <v>525</v>
      </c>
      <c r="D976" t="s">
        <v>827</v>
      </c>
      <c r="E976" t="s">
        <v>38</v>
      </c>
      <c r="F976" t="s">
        <v>39</v>
      </c>
      <c r="G976">
        <v>28</v>
      </c>
      <c r="H976" t="s">
        <v>75</v>
      </c>
      <c r="I976" t="s">
        <v>160</v>
      </c>
      <c r="J976">
        <v>803847</v>
      </c>
      <c r="K976" t="s">
        <v>18</v>
      </c>
      <c r="L976" s="1">
        <v>42420.827777777777</v>
      </c>
      <c r="M976" s="1">
        <v>42420</v>
      </c>
      <c r="N976" s="3">
        <f>INT(BrightTV_JoinedTablesnw_2026_04_16_23_55_09[[#This Row],[Viewership.RecordDate22]])</f>
        <v>42420</v>
      </c>
      <c r="O976" s="2">
        <v>0.82777777777777772</v>
      </c>
      <c r="P976" t="s">
        <v>216</v>
      </c>
      <c r="Q976">
        <v>803847</v>
      </c>
      <c r="R976" t="s">
        <v>20</v>
      </c>
    </row>
    <row r="977" spans="1:18" x14ac:dyDescent="0.25">
      <c r="A977">
        <v>803847</v>
      </c>
      <c r="B977" t="s">
        <v>158</v>
      </c>
      <c r="C977" t="s">
        <v>525</v>
      </c>
      <c r="D977" t="s">
        <v>827</v>
      </c>
      <c r="E977" t="s">
        <v>38</v>
      </c>
      <c r="F977" t="s">
        <v>39</v>
      </c>
      <c r="G977">
        <v>28</v>
      </c>
      <c r="H977" t="s">
        <v>75</v>
      </c>
      <c r="I977" t="s">
        <v>160</v>
      </c>
      <c r="J977">
        <v>803847</v>
      </c>
      <c r="K977" t="s">
        <v>77</v>
      </c>
      <c r="L977" s="1">
        <v>42419.890277777777</v>
      </c>
      <c r="M977" s="1">
        <v>42419</v>
      </c>
      <c r="N977" s="3">
        <f>INT(BrightTV_JoinedTablesnw_2026_04_16_23_55_09[[#This Row],[Viewership.RecordDate22]])</f>
        <v>42419</v>
      </c>
      <c r="O977" s="2">
        <v>0.89027777777777772</v>
      </c>
      <c r="P977" t="s">
        <v>288</v>
      </c>
      <c r="Q977">
        <v>803847</v>
      </c>
      <c r="R977" t="s">
        <v>20</v>
      </c>
    </row>
    <row r="978" spans="1:18" x14ac:dyDescent="0.25">
      <c r="A978">
        <v>803847</v>
      </c>
      <c r="B978" t="s">
        <v>158</v>
      </c>
      <c r="C978" t="s">
        <v>525</v>
      </c>
      <c r="D978" t="s">
        <v>827</v>
      </c>
      <c r="E978" t="s">
        <v>38</v>
      </c>
      <c r="F978" t="s">
        <v>39</v>
      </c>
      <c r="G978">
        <v>28</v>
      </c>
      <c r="H978" t="s">
        <v>75</v>
      </c>
      <c r="I978" t="s">
        <v>160</v>
      </c>
      <c r="J978">
        <v>803847</v>
      </c>
      <c r="K978" t="s">
        <v>152</v>
      </c>
      <c r="L978" s="1">
        <v>42417.013194444444</v>
      </c>
      <c r="M978" s="1">
        <v>42417</v>
      </c>
      <c r="N978" s="3">
        <f>INT(BrightTV_JoinedTablesnw_2026_04_16_23_55_09[[#This Row],[Viewership.RecordDate22]])</f>
        <v>42417</v>
      </c>
      <c r="O978" s="2">
        <v>1.3194444444444444E-2</v>
      </c>
      <c r="P978" t="s">
        <v>401</v>
      </c>
      <c r="Q978">
        <v>803847</v>
      </c>
      <c r="R978" t="s">
        <v>20</v>
      </c>
    </row>
    <row r="979" spans="1:18" x14ac:dyDescent="0.25">
      <c r="A979">
        <v>803847</v>
      </c>
      <c r="B979" t="s">
        <v>158</v>
      </c>
      <c r="C979" t="s">
        <v>525</v>
      </c>
      <c r="D979" t="s">
        <v>827</v>
      </c>
      <c r="E979" t="s">
        <v>38</v>
      </c>
      <c r="F979" t="s">
        <v>39</v>
      </c>
      <c r="G979">
        <v>28</v>
      </c>
      <c r="H979" t="s">
        <v>75</v>
      </c>
      <c r="I979" t="s">
        <v>160</v>
      </c>
      <c r="J979">
        <v>803847</v>
      </c>
      <c r="K979" t="s">
        <v>54</v>
      </c>
      <c r="L979" s="1">
        <v>42417.304166666669</v>
      </c>
      <c r="M979" s="1">
        <v>42417</v>
      </c>
      <c r="N979" s="3">
        <f>INT(BrightTV_JoinedTablesnw_2026_04_16_23_55_09[[#This Row],[Viewership.RecordDate22]])</f>
        <v>42417</v>
      </c>
      <c r="O979" s="2">
        <v>0.30416666666666664</v>
      </c>
      <c r="P979" t="s">
        <v>648</v>
      </c>
      <c r="Q979">
        <v>803847</v>
      </c>
      <c r="R979" t="s">
        <v>20</v>
      </c>
    </row>
    <row r="980" spans="1:18" x14ac:dyDescent="0.25">
      <c r="A980">
        <v>803847</v>
      </c>
      <c r="B980" t="s">
        <v>158</v>
      </c>
      <c r="C980" t="s">
        <v>525</v>
      </c>
      <c r="D980" t="s">
        <v>827</v>
      </c>
      <c r="E980" t="s">
        <v>38</v>
      </c>
      <c r="F980" t="s">
        <v>39</v>
      </c>
      <c r="G980">
        <v>28</v>
      </c>
      <c r="H980" t="s">
        <v>75</v>
      </c>
      <c r="I980" t="s">
        <v>160</v>
      </c>
      <c r="J980">
        <v>803847</v>
      </c>
      <c r="K980" t="s">
        <v>32</v>
      </c>
      <c r="L980" s="1">
        <v>42417.400694444441</v>
      </c>
      <c r="M980" s="1">
        <v>42417</v>
      </c>
      <c r="N980" s="3">
        <f>INT(BrightTV_JoinedTablesnw_2026_04_16_23_55_09[[#This Row],[Viewership.RecordDate22]])</f>
        <v>42417</v>
      </c>
      <c r="O980" s="2">
        <v>0.40069444444444446</v>
      </c>
      <c r="P980" t="s">
        <v>207</v>
      </c>
      <c r="Q980">
        <v>803847</v>
      </c>
      <c r="R980" t="s">
        <v>20</v>
      </c>
    </row>
    <row r="981" spans="1:18" x14ac:dyDescent="0.25">
      <c r="A981">
        <v>809218</v>
      </c>
      <c r="B981" t="s">
        <v>192</v>
      </c>
      <c r="C981" t="s">
        <v>344</v>
      </c>
      <c r="D981" t="s">
        <v>626</v>
      </c>
      <c r="E981" t="s">
        <v>38</v>
      </c>
      <c r="F981" t="s">
        <v>16</v>
      </c>
      <c r="G981">
        <v>50</v>
      </c>
      <c r="H981" t="s">
        <v>60</v>
      </c>
      <c r="I981" t="s">
        <v>195</v>
      </c>
      <c r="J981">
        <v>809218</v>
      </c>
      <c r="K981" t="s">
        <v>18</v>
      </c>
      <c r="L981" s="1">
        <v>42424.455555555556</v>
      </c>
      <c r="M981" s="1">
        <v>42424</v>
      </c>
      <c r="N981" s="3">
        <f>INT(BrightTV_JoinedTablesnw_2026_04_16_23_55_09[[#This Row],[Viewership.RecordDate22]])</f>
        <v>42424</v>
      </c>
      <c r="O981" s="2">
        <v>0.45555555555555555</v>
      </c>
      <c r="P981" t="s">
        <v>304</v>
      </c>
      <c r="Q981">
        <v>809218</v>
      </c>
      <c r="R981" t="s">
        <v>20</v>
      </c>
    </row>
    <row r="982" spans="1:18" x14ac:dyDescent="0.25">
      <c r="A982">
        <v>809218</v>
      </c>
      <c r="B982" t="s">
        <v>192</v>
      </c>
      <c r="C982" t="s">
        <v>344</v>
      </c>
      <c r="D982" t="s">
        <v>626</v>
      </c>
      <c r="E982" t="s">
        <v>38</v>
      </c>
      <c r="F982" t="s">
        <v>16</v>
      </c>
      <c r="G982">
        <v>50</v>
      </c>
      <c r="H982" t="s">
        <v>60</v>
      </c>
      <c r="I982" t="s">
        <v>195</v>
      </c>
      <c r="J982">
        <v>809218</v>
      </c>
      <c r="K982" t="s">
        <v>47</v>
      </c>
      <c r="L982" s="1">
        <v>42387.717361111114</v>
      </c>
      <c r="M982" s="1">
        <v>42387</v>
      </c>
      <c r="N982" s="3">
        <f>INT(BrightTV_JoinedTablesnw_2026_04_16_23_55_09[[#This Row],[Viewership.RecordDate22]])</f>
        <v>42387</v>
      </c>
      <c r="O982" s="2">
        <v>0.71736111111111112</v>
      </c>
      <c r="P982" t="s">
        <v>1071</v>
      </c>
      <c r="Q982">
        <v>809218</v>
      </c>
      <c r="R982" t="s">
        <v>20</v>
      </c>
    </row>
    <row r="983" spans="1:18" x14ac:dyDescent="0.25">
      <c r="A983">
        <v>808103</v>
      </c>
      <c r="B983" t="s">
        <v>622</v>
      </c>
      <c r="C983" t="s">
        <v>94</v>
      </c>
      <c r="D983" t="s">
        <v>793</v>
      </c>
      <c r="E983" t="s">
        <v>38</v>
      </c>
      <c r="F983" t="s">
        <v>106</v>
      </c>
      <c r="G983">
        <v>27</v>
      </c>
      <c r="H983" t="s">
        <v>26</v>
      </c>
      <c r="I983" t="s">
        <v>624</v>
      </c>
      <c r="J983">
        <v>808103</v>
      </c>
      <c r="K983" t="s">
        <v>18</v>
      </c>
      <c r="L983" s="1">
        <v>42423.551388888889</v>
      </c>
      <c r="M983" s="1">
        <v>42423</v>
      </c>
      <c r="N983" s="3">
        <f>INT(BrightTV_JoinedTablesnw_2026_04_16_23_55_09[[#This Row],[Viewership.RecordDate22]])</f>
        <v>42423</v>
      </c>
      <c r="O983" s="2">
        <v>0.55138888888888893</v>
      </c>
      <c r="P983" t="s">
        <v>1072</v>
      </c>
      <c r="Q983">
        <v>808103</v>
      </c>
      <c r="R983" t="s">
        <v>20</v>
      </c>
    </row>
    <row r="984" spans="1:18" x14ac:dyDescent="0.25">
      <c r="A984">
        <v>809222</v>
      </c>
      <c r="B984" t="s">
        <v>622</v>
      </c>
      <c r="C984" t="s">
        <v>305</v>
      </c>
      <c r="D984" t="s">
        <v>1073</v>
      </c>
      <c r="E984" t="s">
        <v>38</v>
      </c>
      <c r="F984" t="s">
        <v>16</v>
      </c>
      <c r="G984">
        <v>59</v>
      </c>
      <c r="H984" t="s">
        <v>280</v>
      </c>
      <c r="I984" t="s">
        <v>624</v>
      </c>
      <c r="J984">
        <v>809222</v>
      </c>
      <c r="K984" t="s">
        <v>54</v>
      </c>
      <c r="L984" s="1">
        <v>42412.54791666667</v>
      </c>
      <c r="M984" s="1">
        <v>42412</v>
      </c>
      <c r="N984" s="3">
        <f>INT(BrightTV_JoinedTablesnw_2026_04_16_23_55_09[[#This Row],[Viewership.RecordDate22]])</f>
        <v>42412</v>
      </c>
      <c r="O984" s="2">
        <v>0.54791666666666672</v>
      </c>
      <c r="P984" t="s">
        <v>371</v>
      </c>
      <c r="Q984">
        <v>809222</v>
      </c>
      <c r="R984" t="s">
        <v>20</v>
      </c>
    </row>
    <row r="985" spans="1:18" x14ac:dyDescent="0.25">
      <c r="A985">
        <v>809226</v>
      </c>
      <c r="B985" t="s">
        <v>43</v>
      </c>
      <c r="C985" t="s">
        <v>94</v>
      </c>
      <c r="D985" t="s">
        <v>393</v>
      </c>
      <c r="E985" t="s">
        <v>38</v>
      </c>
      <c r="F985" t="s">
        <v>96</v>
      </c>
      <c r="G985">
        <v>34</v>
      </c>
      <c r="H985" t="s">
        <v>60</v>
      </c>
      <c r="I985" t="s">
        <v>46</v>
      </c>
      <c r="J985">
        <v>809226</v>
      </c>
      <c r="K985" t="s">
        <v>496</v>
      </c>
      <c r="L985" s="1">
        <v>42405.927777777775</v>
      </c>
      <c r="M985" s="1">
        <v>42405</v>
      </c>
      <c r="N985" s="3">
        <f>INT(BrightTV_JoinedTablesnw_2026_04_16_23_55_09[[#This Row],[Viewership.RecordDate22]])</f>
        <v>42405</v>
      </c>
      <c r="O985" s="2">
        <v>0.92777777777777781</v>
      </c>
      <c r="P985" t="s">
        <v>1074</v>
      </c>
      <c r="Q985">
        <v>809226</v>
      </c>
      <c r="R985" t="s">
        <v>20</v>
      </c>
    </row>
    <row r="986" spans="1:18" x14ac:dyDescent="0.25">
      <c r="A986">
        <v>809226</v>
      </c>
      <c r="B986" t="s">
        <v>43</v>
      </c>
      <c r="C986" t="s">
        <v>94</v>
      </c>
      <c r="D986" t="s">
        <v>393</v>
      </c>
      <c r="E986" t="s">
        <v>38</v>
      </c>
      <c r="F986" t="s">
        <v>96</v>
      </c>
      <c r="G986">
        <v>34</v>
      </c>
      <c r="H986" t="s">
        <v>60</v>
      </c>
      <c r="I986" t="s">
        <v>46</v>
      </c>
      <c r="J986">
        <v>809226</v>
      </c>
      <c r="K986" t="s">
        <v>28</v>
      </c>
      <c r="L986" s="1">
        <v>42405.868750000001</v>
      </c>
      <c r="M986" s="1">
        <v>42405</v>
      </c>
      <c r="N986" s="3">
        <f>INT(BrightTV_JoinedTablesnw_2026_04_16_23_55_09[[#This Row],[Viewership.RecordDate22]])</f>
        <v>42405</v>
      </c>
      <c r="O986" s="2">
        <v>0.86875000000000002</v>
      </c>
      <c r="P986" t="s">
        <v>71</v>
      </c>
      <c r="Q986">
        <v>809226</v>
      </c>
      <c r="R986" t="s">
        <v>20</v>
      </c>
    </row>
    <row r="987" spans="1:18" x14ac:dyDescent="0.25">
      <c r="A987">
        <v>809226</v>
      </c>
      <c r="B987" t="s">
        <v>43</v>
      </c>
      <c r="C987" t="s">
        <v>94</v>
      </c>
      <c r="D987" t="s">
        <v>393</v>
      </c>
      <c r="E987" t="s">
        <v>38</v>
      </c>
      <c r="F987" t="s">
        <v>96</v>
      </c>
      <c r="G987">
        <v>34</v>
      </c>
      <c r="H987" t="s">
        <v>60</v>
      </c>
      <c r="I987" t="s">
        <v>46</v>
      </c>
      <c r="J987">
        <v>809226</v>
      </c>
      <c r="K987" t="s">
        <v>129</v>
      </c>
      <c r="L987" s="1">
        <v>42391.713194444441</v>
      </c>
      <c r="M987" s="1">
        <v>42391</v>
      </c>
      <c r="N987" s="3">
        <f>INT(BrightTV_JoinedTablesnw_2026_04_16_23_55_09[[#This Row],[Viewership.RecordDate22]])</f>
        <v>42391</v>
      </c>
      <c r="O987" s="2">
        <v>0.71319444444444446</v>
      </c>
      <c r="P987" t="s">
        <v>1075</v>
      </c>
      <c r="Q987">
        <v>809226</v>
      </c>
      <c r="R987" t="s">
        <v>20</v>
      </c>
    </row>
    <row r="988" spans="1:18" x14ac:dyDescent="0.25">
      <c r="A988">
        <v>809226</v>
      </c>
      <c r="B988" t="s">
        <v>43</v>
      </c>
      <c r="C988" t="s">
        <v>94</v>
      </c>
      <c r="D988" t="s">
        <v>393</v>
      </c>
      <c r="E988" t="s">
        <v>38</v>
      </c>
      <c r="F988" t="s">
        <v>96</v>
      </c>
      <c r="G988">
        <v>34</v>
      </c>
      <c r="H988" t="s">
        <v>60</v>
      </c>
      <c r="I988" t="s">
        <v>46</v>
      </c>
      <c r="J988">
        <v>809226</v>
      </c>
      <c r="K988" t="s">
        <v>54</v>
      </c>
      <c r="L988" s="1">
        <v>42390.289583333331</v>
      </c>
      <c r="M988" s="1">
        <v>42390</v>
      </c>
      <c r="N988" s="3">
        <f>INT(BrightTV_JoinedTablesnw_2026_04_16_23_55_09[[#This Row],[Viewership.RecordDate22]])</f>
        <v>42390</v>
      </c>
      <c r="O988" s="2">
        <v>0.28958333333333336</v>
      </c>
      <c r="P988" t="s">
        <v>504</v>
      </c>
      <c r="Q988">
        <v>809226</v>
      </c>
      <c r="R988" t="s">
        <v>20</v>
      </c>
    </row>
    <row r="989" spans="1:18" x14ac:dyDescent="0.25">
      <c r="A989">
        <v>809226</v>
      </c>
      <c r="B989" t="s">
        <v>43</v>
      </c>
      <c r="C989" t="s">
        <v>94</v>
      </c>
      <c r="D989" t="s">
        <v>393</v>
      </c>
      <c r="E989" t="s">
        <v>38</v>
      </c>
      <c r="F989" t="s">
        <v>96</v>
      </c>
      <c r="G989">
        <v>34</v>
      </c>
      <c r="H989" t="s">
        <v>60</v>
      </c>
      <c r="I989" t="s">
        <v>46</v>
      </c>
      <c r="J989">
        <v>809226</v>
      </c>
      <c r="K989" t="s">
        <v>77</v>
      </c>
      <c r="L989" s="1">
        <v>42390.56527777778</v>
      </c>
      <c r="M989" s="1">
        <v>42390</v>
      </c>
      <c r="N989" s="3">
        <f>INT(BrightTV_JoinedTablesnw_2026_04_16_23_55_09[[#This Row],[Viewership.RecordDate22]])</f>
        <v>42390</v>
      </c>
      <c r="O989" s="2">
        <v>0.56527777777777777</v>
      </c>
      <c r="P989" t="s">
        <v>1076</v>
      </c>
      <c r="Q989">
        <v>809226</v>
      </c>
      <c r="R989" t="s">
        <v>20</v>
      </c>
    </row>
    <row r="990" spans="1:18" x14ac:dyDescent="0.25">
      <c r="A990">
        <v>809228</v>
      </c>
      <c r="B990" t="s">
        <v>671</v>
      </c>
      <c r="C990" t="s">
        <v>104</v>
      </c>
      <c r="D990" t="s">
        <v>672</v>
      </c>
      <c r="E990" t="s">
        <v>38</v>
      </c>
      <c r="F990" t="s">
        <v>96</v>
      </c>
      <c r="G990">
        <v>43</v>
      </c>
      <c r="H990" t="s">
        <v>60</v>
      </c>
      <c r="I990" t="s">
        <v>673</v>
      </c>
      <c r="J990">
        <v>809228</v>
      </c>
      <c r="K990" t="s">
        <v>84</v>
      </c>
      <c r="L990" s="1">
        <v>42418.897916666669</v>
      </c>
      <c r="M990" s="1">
        <v>42418</v>
      </c>
      <c r="N990" s="3">
        <f>INT(BrightTV_JoinedTablesnw_2026_04_16_23_55_09[[#This Row],[Viewership.RecordDate22]])</f>
        <v>42418</v>
      </c>
      <c r="O990" s="2">
        <v>0.8979166666666667</v>
      </c>
      <c r="P990" t="s">
        <v>1077</v>
      </c>
      <c r="Q990">
        <v>809228</v>
      </c>
      <c r="R990" t="s">
        <v>20</v>
      </c>
    </row>
    <row r="991" spans="1:18" x14ac:dyDescent="0.25">
      <c r="A991">
        <v>809228</v>
      </c>
      <c r="B991" t="s">
        <v>671</v>
      </c>
      <c r="C991" t="s">
        <v>104</v>
      </c>
      <c r="D991" t="s">
        <v>672</v>
      </c>
      <c r="E991" t="s">
        <v>38</v>
      </c>
      <c r="F991" t="s">
        <v>96</v>
      </c>
      <c r="G991">
        <v>43</v>
      </c>
      <c r="H991" t="s">
        <v>60</v>
      </c>
      <c r="I991" t="s">
        <v>673</v>
      </c>
      <c r="J991">
        <v>809228</v>
      </c>
      <c r="K991" t="s">
        <v>47</v>
      </c>
      <c r="L991" s="1">
        <v>42406.727083333331</v>
      </c>
      <c r="M991" s="1">
        <v>42406</v>
      </c>
      <c r="N991" s="3">
        <f>INT(BrightTV_JoinedTablesnw_2026_04_16_23_55_09[[#This Row],[Viewership.RecordDate22]])</f>
        <v>42406</v>
      </c>
      <c r="O991" s="2">
        <v>0.7270833333333333</v>
      </c>
      <c r="P991" t="s">
        <v>64</v>
      </c>
      <c r="Q991">
        <v>809228</v>
      </c>
      <c r="R991" t="s">
        <v>20</v>
      </c>
    </row>
    <row r="992" spans="1:18" x14ac:dyDescent="0.25">
      <c r="A992">
        <v>809228</v>
      </c>
      <c r="B992" t="s">
        <v>671</v>
      </c>
      <c r="C992" t="s">
        <v>104</v>
      </c>
      <c r="D992" t="s">
        <v>672</v>
      </c>
      <c r="E992" t="s">
        <v>38</v>
      </c>
      <c r="F992" t="s">
        <v>96</v>
      </c>
      <c r="G992">
        <v>43</v>
      </c>
      <c r="H992" t="s">
        <v>60</v>
      </c>
      <c r="I992" t="s">
        <v>673</v>
      </c>
      <c r="J992">
        <v>809228</v>
      </c>
      <c r="K992" t="s">
        <v>47</v>
      </c>
      <c r="L992" s="1">
        <v>42427.659722222219</v>
      </c>
      <c r="M992" s="1">
        <v>42427</v>
      </c>
      <c r="N992" s="3">
        <f>INT(BrightTV_JoinedTablesnw_2026_04_16_23_55_09[[#This Row],[Viewership.RecordDate22]])</f>
        <v>42427</v>
      </c>
      <c r="O992" s="2">
        <v>0.65972222222222221</v>
      </c>
      <c r="P992" t="s">
        <v>64</v>
      </c>
      <c r="Q992">
        <v>809228</v>
      </c>
      <c r="R992" t="s">
        <v>20</v>
      </c>
    </row>
    <row r="993" spans="1:18" x14ac:dyDescent="0.25">
      <c r="A993">
        <v>809229</v>
      </c>
      <c r="B993" t="s">
        <v>158</v>
      </c>
      <c r="C993" t="s">
        <v>361</v>
      </c>
      <c r="D993" t="s">
        <v>890</v>
      </c>
      <c r="E993" t="s">
        <v>38</v>
      </c>
      <c r="F993" t="s">
        <v>96</v>
      </c>
      <c r="G993">
        <v>31</v>
      </c>
      <c r="H993" t="s">
        <v>60</v>
      </c>
      <c r="I993" t="s">
        <v>160</v>
      </c>
      <c r="J993">
        <v>809229</v>
      </c>
      <c r="K993" t="s">
        <v>30</v>
      </c>
      <c r="L993" s="1">
        <v>42419.738888888889</v>
      </c>
      <c r="M993" s="1">
        <v>42419</v>
      </c>
      <c r="N993" s="3">
        <f>INT(BrightTV_JoinedTablesnw_2026_04_16_23_55_09[[#This Row],[Viewership.RecordDate22]])</f>
        <v>42419</v>
      </c>
      <c r="O993" s="2">
        <v>0.73888888888888893</v>
      </c>
      <c r="P993" t="s">
        <v>1078</v>
      </c>
      <c r="Q993">
        <v>809229</v>
      </c>
      <c r="R993" t="s">
        <v>20</v>
      </c>
    </row>
    <row r="994" spans="1:18" x14ac:dyDescent="0.25">
      <c r="A994">
        <v>809229</v>
      </c>
      <c r="B994" t="s">
        <v>158</v>
      </c>
      <c r="C994" t="s">
        <v>361</v>
      </c>
      <c r="D994" t="s">
        <v>890</v>
      </c>
      <c r="E994" t="s">
        <v>38</v>
      </c>
      <c r="F994" t="s">
        <v>96</v>
      </c>
      <c r="G994">
        <v>31</v>
      </c>
      <c r="H994" t="s">
        <v>60</v>
      </c>
      <c r="I994" t="s">
        <v>160</v>
      </c>
      <c r="J994">
        <v>809229</v>
      </c>
      <c r="K994" t="s">
        <v>47</v>
      </c>
      <c r="L994" s="1">
        <v>42419.413194444445</v>
      </c>
      <c r="M994" s="1">
        <v>42419</v>
      </c>
      <c r="N994" s="3">
        <f>INT(BrightTV_JoinedTablesnw_2026_04_16_23_55_09[[#This Row],[Viewership.RecordDate22]])</f>
        <v>42419</v>
      </c>
      <c r="O994" s="2">
        <v>0.41319444444444442</v>
      </c>
      <c r="P994" t="s">
        <v>738</v>
      </c>
      <c r="Q994">
        <v>809229</v>
      </c>
      <c r="R994" t="s">
        <v>20</v>
      </c>
    </row>
    <row r="995" spans="1:18" x14ac:dyDescent="0.25">
      <c r="A995">
        <v>809229</v>
      </c>
      <c r="B995" t="s">
        <v>158</v>
      </c>
      <c r="C995" t="s">
        <v>361</v>
      </c>
      <c r="D995" t="s">
        <v>890</v>
      </c>
      <c r="E995" t="s">
        <v>38</v>
      </c>
      <c r="F995" t="s">
        <v>96</v>
      </c>
      <c r="G995">
        <v>31</v>
      </c>
      <c r="H995" t="s">
        <v>60</v>
      </c>
      <c r="I995" t="s">
        <v>160</v>
      </c>
      <c r="J995">
        <v>809229</v>
      </c>
      <c r="K995" t="s">
        <v>30</v>
      </c>
      <c r="L995" s="1">
        <v>42419.484722222223</v>
      </c>
      <c r="M995" s="1">
        <v>42419</v>
      </c>
      <c r="N995" s="3">
        <f>INT(BrightTV_JoinedTablesnw_2026_04_16_23_55_09[[#This Row],[Viewership.RecordDate22]])</f>
        <v>42419</v>
      </c>
      <c r="O995" s="2">
        <v>0.48472222222222222</v>
      </c>
      <c r="P995" t="s">
        <v>335</v>
      </c>
      <c r="Q995">
        <v>809229</v>
      </c>
      <c r="R995" t="s">
        <v>20</v>
      </c>
    </row>
    <row r="996" spans="1:18" x14ac:dyDescent="0.25">
      <c r="A996">
        <v>809229</v>
      </c>
      <c r="B996" t="s">
        <v>158</v>
      </c>
      <c r="C996" t="s">
        <v>361</v>
      </c>
      <c r="D996" t="s">
        <v>890</v>
      </c>
      <c r="E996" t="s">
        <v>38</v>
      </c>
      <c r="F996" t="s">
        <v>96</v>
      </c>
      <c r="G996">
        <v>31</v>
      </c>
      <c r="H996" t="s">
        <v>60</v>
      </c>
      <c r="I996" t="s">
        <v>160</v>
      </c>
      <c r="J996">
        <v>809229</v>
      </c>
      <c r="K996" t="s">
        <v>32</v>
      </c>
      <c r="L996" s="1">
        <v>42419.691666666666</v>
      </c>
      <c r="M996" s="1">
        <v>42419</v>
      </c>
      <c r="N996" s="3">
        <f>INT(BrightTV_JoinedTablesnw_2026_04_16_23_55_09[[#This Row],[Viewership.RecordDate22]])</f>
        <v>42419</v>
      </c>
      <c r="O996" s="2">
        <v>0.69166666666666665</v>
      </c>
      <c r="P996" t="s">
        <v>64</v>
      </c>
      <c r="Q996">
        <v>809229</v>
      </c>
      <c r="R996" t="s">
        <v>20</v>
      </c>
    </row>
    <row r="997" spans="1:18" x14ac:dyDescent="0.25">
      <c r="A997">
        <v>809230</v>
      </c>
      <c r="B997" t="s">
        <v>542</v>
      </c>
      <c r="C997" t="s">
        <v>333</v>
      </c>
      <c r="D997" t="s">
        <v>1079</v>
      </c>
      <c r="E997" t="s">
        <v>38</v>
      </c>
      <c r="F997" t="s">
        <v>39</v>
      </c>
      <c r="G997">
        <v>39</v>
      </c>
      <c r="H997" t="s">
        <v>40</v>
      </c>
      <c r="I997" t="s">
        <v>545</v>
      </c>
      <c r="J997">
        <v>809230</v>
      </c>
      <c r="K997" t="s">
        <v>129</v>
      </c>
      <c r="L997" s="1">
        <v>42422.520833333336</v>
      </c>
      <c r="M997" s="1">
        <v>42422</v>
      </c>
      <c r="N997" s="3">
        <f>INT(BrightTV_JoinedTablesnw_2026_04_16_23_55_09[[#This Row],[Viewership.RecordDate22]])</f>
        <v>42422</v>
      </c>
      <c r="O997" s="2">
        <v>0.52083333333333337</v>
      </c>
      <c r="P997" t="s">
        <v>1080</v>
      </c>
      <c r="Q997">
        <v>809230</v>
      </c>
      <c r="R997" t="s">
        <v>20</v>
      </c>
    </row>
    <row r="998" spans="1:18" x14ac:dyDescent="0.25">
      <c r="A998">
        <v>809230</v>
      </c>
      <c r="B998" t="s">
        <v>542</v>
      </c>
      <c r="C998" t="s">
        <v>333</v>
      </c>
      <c r="D998" t="s">
        <v>1079</v>
      </c>
      <c r="E998" t="s">
        <v>38</v>
      </c>
      <c r="F998" t="s">
        <v>39</v>
      </c>
      <c r="G998">
        <v>39</v>
      </c>
      <c r="H998" t="s">
        <v>40</v>
      </c>
      <c r="I998" t="s">
        <v>545</v>
      </c>
      <c r="J998">
        <v>809230</v>
      </c>
      <c r="K998" t="s">
        <v>62</v>
      </c>
      <c r="L998" s="1">
        <v>42399.928472222222</v>
      </c>
      <c r="M998" s="1">
        <v>42399</v>
      </c>
      <c r="N998" s="3">
        <f>INT(BrightTV_JoinedTablesnw_2026_04_16_23_55_09[[#This Row],[Viewership.RecordDate22]])</f>
        <v>42399</v>
      </c>
      <c r="O998" s="2">
        <v>0.92847222222222225</v>
      </c>
      <c r="P998" t="s">
        <v>161</v>
      </c>
      <c r="Q998">
        <v>809230</v>
      </c>
      <c r="R998" t="s">
        <v>20</v>
      </c>
    </row>
    <row r="999" spans="1:18" x14ac:dyDescent="0.25">
      <c r="A999">
        <v>809230</v>
      </c>
      <c r="B999" t="s">
        <v>542</v>
      </c>
      <c r="C999" t="s">
        <v>333</v>
      </c>
      <c r="D999" t="s">
        <v>1079</v>
      </c>
      <c r="E999" t="s">
        <v>38</v>
      </c>
      <c r="F999" t="s">
        <v>39</v>
      </c>
      <c r="G999">
        <v>39</v>
      </c>
      <c r="H999" t="s">
        <v>40</v>
      </c>
      <c r="I999" t="s">
        <v>545</v>
      </c>
      <c r="J999">
        <v>809230</v>
      </c>
      <c r="K999" t="s">
        <v>129</v>
      </c>
      <c r="L999" s="1">
        <v>42399.970138888886</v>
      </c>
      <c r="M999" s="1">
        <v>42399</v>
      </c>
      <c r="N999" s="3">
        <f>INT(BrightTV_JoinedTablesnw_2026_04_16_23_55_09[[#This Row],[Viewership.RecordDate22]])</f>
        <v>42399</v>
      </c>
      <c r="O999" s="2">
        <v>0.97013888888888888</v>
      </c>
      <c r="P999" t="s">
        <v>1081</v>
      </c>
      <c r="Q999">
        <v>809230</v>
      </c>
      <c r="R999" t="s">
        <v>20</v>
      </c>
    </row>
    <row r="1000" spans="1:18" x14ac:dyDescent="0.25">
      <c r="A1000">
        <v>809230</v>
      </c>
      <c r="B1000" t="s">
        <v>542</v>
      </c>
      <c r="C1000" t="s">
        <v>333</v>
      </c>
      <c r="D1000" t="s">
        <v>1079</v>
      </c>
      <c r="E1000" t="s">
        <v>38</v>
      </c>
      <c r="F1000" t="s">
        <v>39</v>
      </c>
      <c r="G1000">
        <v>39</v>
      </c>
      <c r="H1000" t="s">
        <v>40</v>
      </c>
      <c r="I1000" t="s">
        <v>545</v>
      </c>
      <c r="J1000">
        <v>809230</v>
      </c>
      <c r="K1000" t="s">
        <v>129</v>
      </c>
      <c r="L1000" s="1">
        <v>42393.760416666664</v>
      </c>
      <c r="M1000" s="1">
        <v>42393</v>
      </c>
      <c r="N1000" s="3">
        <f>INT(BrightTV_JoinedTablesnw_2026_04_16_23_55_09[[#This Row],[Viewership.RecordDate22]])</f>
        <v>42393</v>
      </c>
      <c r="O1000" s="2">
        <v>0.76041666666666663</v>
      </c>
      <c r="P1000" t="s">
        <v>1082</v>
      </c>
      <c r="Q1000">
        <v>809230</v>
      </c>
      <c r="R1000" t="s">
        <v>20</v>
      </c>
    </row>
    <row r="1001" spans="1:18" x14ac:dyDescent="0.25">
      <c r="A1001">
        <v>809230</v>
      </c>
      <c r="B1001" t="s">
        <v>542</v>
      </c>
      <c r="C1001" t="s">
        <v>333</v>
      </c>
      <c r="D1001" t="s">
        <v>1079</v>
      </c>
      <c r="E1001" t="s">
        <v>38</v>
      </c>
      <c r="F1001" t="s">
        <v>39</v>
      </c>
      <c r="G1001">
        <v>39</v>
      </c>
      <c r="H1001" t="s">
        <v>40</v>
      </c>
      <c r="I1001" t="s">
        <v>545</v>
      </c>
      <c r="J1001">
        <v>809230</v>
      </c>
      <c r="K1001" t="s">
        <v>129</v>
      </c>
      <c r="L1001" s="1">
        <v>42382.521527777775</v>
      </c>
      <c r="M1001" s="1">
        <v>42382</v>
      </c>
      <c r="N1001" s="3">
        <f>INT(BrightTV_JoinedTablesnw_2026_04_16_23_55_09[[#This Row],[Viewership.RecordDate22]])</f>
        <v>42382</v>
      </c>
      <c r="O1001" s="2">
        <v>0.52152777777777781</v>
      </c>
      <c r="P1001" t="s">
        <v>1083</v>
      </c>
      <c r="Q1001">
        <v>809230</v>
      </c>
      <c r="R1001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AE2C84-2274-4EEE-B82F-571B416ADC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MW</vt:lpstr>
      <vt:lpstr>VP</vt:lpstr>
      <vt:lpstr>GD</vt:lpstr>
      <vt:lpstr>VG</vt:lpstr>
      <vt:lpstr>AG</vt:lpstr>
      <vt:lpstr>TB</vt:lpstr>
      <vt:lpstr>TA</vt:lpstr>
      <vt:lpstr>MVCG</vt:lpstr>
      <vt:lpstr>TMEU</vt:lpstr>
      <vt:lpstr>BrightTV_JoinedTablesnw_2026_04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Prudence Mohlala</dc:creator>
  <cp:lastModifiedBy>Prudence Mohlala</cp:lastModifiedBy>
  <dcterms:created xsi:type="dcterms:W3CDTF">2026-04-18T19:31:36Z</dcterms:created>
  <dcterms:modified xsi:type="dcterms:W3CDTF">2026-04-19T19:33:44Z</dcterms:modified>
</cp:coreProperties>
</file>